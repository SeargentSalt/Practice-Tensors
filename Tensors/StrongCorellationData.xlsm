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jayk\OneDrive\Documents\Coding\Practice\Tensors\"/>
    </mc:Choice>
  </mc:AlternateContent>
  <xr:revisionPtr revIDLastSave="7" documentId="31071216E24E0C8BA702422A4A3EA2DAD4C68638" xr6:coauthVersionLast="28" xr6:coauthVersionMax="28" xr10:uidLastSave="{9D63504A-B4EE-4A16-8095-2EC95BCBFA20}"/>
  <bookViews>
    <workbookView xWindow="0" yWindow="0" windowWidth="28800" windowHeight="12210" xr2:uid="{00000000-000D-0000-FFFF-FFFF00000000}"/>
  </bookViews>
  <sheets>
    <sheet name="cansim-1110036-eng-557151357758" sheetId="1" r:id="rId1"/>
  </sheets>
  <calcPr calcId="171027"/>
</workbook>
</file>

<file path=xl/calcChain.xml><?xml version="1.0" encoding="utf-8"?>
<calcChain xmlns="http://schemas.openxmlformats.org/spreadsheetml/2006/main">
  <c r="A21" i="1" l="1"/>
  <c r="B8" i="1"/>
  <c r="D4" i="1"/>
  <c r="D6" i="1" s="1"/>
  <c r="D11" i="1" s="1"/>
  <c r="E4" i="1"/>
  <c r="E6" i="1" s="1"/>
  <c r="E11" i="1" s="1"/>
  <c r="F4" i="1"/>
  <c r="F6" i="1" s="1"/>
  <c r="F11" i="1" s="1"/>
  <c r="G4" i="1"/>
  <c r="G6" i="1" s="1"/>
  <c r="G11" i="1" s="1"/>
  <c r="H4" i="1"/>
  <c r="H6" i="1" s="1"/>
  <c r="H11" i="1" s="1"/>
  <c r="I4" i="1"/>
  <c r="I6" i="1" s="1"/>
  <c r="I11" i="1" s="1"/>
  <c r="J4" i="1"/>
  <c r="J6" i="1" s="1"/>
  <c r="J11" i="1" s="1"/>
  <c r="K4" i="1"/>
  <c r="K6" i="1" s="1"/>
  <c r="K11" i="1" s="1"/>
  <c r="L4" i="1"/>
  <c r="L6" i="1" s="1"/>
  <c r="L11" i="1" s="1"/>
  <c r="M4" i="1"/>
  <c r="M6" i="1" s="1"/>
  <c r="M11" i="1" s="1"/>
  <c r="N4" i="1"/>
  <c r="N6" i="1" s="1"/>
  <c r="N11" i="1" s="1"/>
  <c r="O4" i="1"/>
  <c r="O6" i="1" s="1"/>
  <c r="O11" i="1" s="1"/>
  <c r="P4" i="1"/>
  <c r="P6" i="1" s="1"/>
  <c r="P11" i="1" s="1"/>
  <c r="Q4" i="1"/>
  <c r="Q6" i="1" s="1"/>
  <c r="Q11" i="1" s="1"/>
  <c r="R4" i="1"/>
  <c r="R6" i="1" s="1"/>
  <c r="R11" i="1" s="1"/>
  <c r="S4" i="1"/>
  <c r="S6" i="1" s="1"/>
  <c r="S11" i="1" s="1"/>
  <c r="T4" i="1"/>
  <c r="T6" i="1" s="1"/>
  <c r="T11" i="1" s="1"/>
  <c r="U4" i="1"/>
  <c r="U6" i="1" s="1"/>
  <c r="U11" i="1" s="1"/>
  <c r="V4" i="1"/>
  <c r="V6" i="1" s="1"/>
  <c r="V11" i="1" s="1"/>
  <c r="W4" i="1"/>
  <c r="W6" i="1" s="1"/>
  <c r="W11" i="1" s="1"/>
  <c r="X4" i="1"/>
  <c r="X6" i="1" s="1"/>
  <c r="X11" i="1" s="1"/>
  <c r="Y4" i="1"/>
  <c r="Y6" i="1" s="1"/>
  <c r="Y11" i="1" s="1"/>
  <c r="Z4" i="1"/>
  <c r="Z6" i="1" s="1"/>
  <c r="Z11" i="1" s="1"/>
  <c r="AA4" i="1"/>
  <c r="AA6" i="1" s="1"/>
  <c r="AA11" i="1" s="1"/>
  <c r="AB4" i="1"/>
  <c r="AB6" i="1" s="1"/>
  <c r="AB11" i="1" s="1"/>
  <c r="AC4" i="1"/>
  <c r="AC6" i="1" s="1"/>
  <c r="AC11" i="1" s="1"/>
  <c r="AD4" i="1"/>
  <c r="AD6" i="1" s="1"/>
  <c r="AD11" i="1" s="1"/>
  <c r="AE4" i="1"/>
  <c r="AE6" i="1" s="1"/>
  <c r="AE11" i="1" s="1"/>
  <c r="AF4" i="1"/>
  <c r="AF6" i="1" s="1"/>
  <c r="AF11" i="1" s="1"/>
  <c r="AG4" i="1"/>
  <c r="AG6" i="1" s="1"/>
  <c r="AG11" i="1" s="1"/>
  <c r="AH4" i="1"/>
  <c r="AH6" i="1" s="1"/>
  <c r="AH11" i="1" s="1"/>
  <c r="AI4" i="1"/>
  <c r="AI6" i="1" s="1"/>
  <c r="AI11" i="1" s="1"/>
  <c r="AJ4" i="1"/>
  <c r="AJ6" i="1" s="1"/>
  <c r="AJ11" i="1" s="1"/>
  <c r="AK4" i="1"/>
  <c r="AK6" i="1" s="1"/>
  <c r="AK11" i="1" s="1"/>
  <c r="AL4" i="1"/>
  <c r="AL6" i="1" s="1"/>
  <c r="AL11" i="1" s="1"/>
  <c r="AM4" i="1"/>
  <c r="AM6" i="1" s="1"/>
  <c r="AM11" i="1" s="1"/>
  <c r="AN4" i="1"/>
  <c r="AN6" i="1" s="1"/>
  <c r="AN11" i="1" s="1"/>
  <c r="AO4" i="1"/>
  <c r="AO6" i="1" s="1"/>
  <c r="AO11" i="1" s="1"/>
  <c r="AP4" i="1"/>
  <c r="AP6" i="1" s="1"/>
  <c r="AP11" i="1" s="1"/>
  <c r="AQ4" i="1"/>
  <c r="AQ6" i="1" s="1"/>
  <c r="AQ11" i="1" s="1"/>
  <c r="AR4" i="1"/>
  <c r="AR6" i="1" s="1"/>
  <c r="AR11" i="1" s="1"/>
  <c r="AS4" i="1"/>
  <c r="AS6" i="1" s="1"/>
  <c r="AS11" i="1" s="1"/>
  <c r="AT4" i="1"/>
  <c r="AT6" i="1" s="1"/>
  <c r="AT11" i="1" s="1"/>
  <c r="AU4" i="1"/>
  <c r="AU6" i="1" s="1"/>
  <c r="AU11" i="1" s="1"/>
  <c r="AV4" i="1"/>
  <c r="AV6" i="1" s="1"/>
  <c r="AV11" i="1" s="1"/>
  <c r="AW4" i="1"/>
  <c r="AW6" i="1" s="1"/>
  <c r="AW11" i="1" s="1"/>
  <c r="AX4" i="1"/>
  <c r="AX6" i="1" s="1"/>
  <c r="AX11" i="1" s="1"/>
  <c r="AY4" i="1"/>
  <c r="AY6" i="1" s="1"/>
  <c r="AY11" i="1" s="1"/>
  <c r="AZ4" i="1"/>
  <c r="AZ6" i="1" s="1"/>
  <c r="AZ11" i="1" s="1"/>
  <c r="BA4" i="1"/>
  <c r="BA6" i="1" s="1"/>
  <c r="BA11" i="1" s="1"/>
  <c r="BB4" i="1"/>
  <c r="BB6" i="1" s="1"/>
  <c r="BB11" i="1" s="1"/>
  <c r="BC4" i="1"/>
  <c r="BC6" i="1" s="1"/>
  <c r="BC11" i="1" s="1"/>
  <c r="BD4" i="1"/>
  <c r="BD6" i="1" s="1"/>
  <c r="BD11" i="1" s="1"/>
  <c r="BE4" i="1"/>
  <c r="BE6" i="1" s="1"/>
  <c r="BE11" i="1" s="1"/>
  <c r="BF4" i="1"/>
  <c r="BF6" i="1" s="1"/>
  <c r="BF11" i="1" s="1"/>
  <c r="BG4" i="1"/>
  <c r="BG6" i="1" s="1"/>
  <c r="BG11" i="1" s="1"/>
  <c r="BH4" i="1"/>
  <c r="BH6" i="1" s="1"/>
  <c r="BH11" i="1" s="1"/>
  <c r="BI4" i="1"/>
  <c r="BI6" i="1" s="1"/>
  <c r="BI11" i="1" s="1"/>
  <c r="BJ4" i="1"/>
  <c r="BJ6" i="1" s="1"/>
  <c r="BJ11" i="1" s="1"/>
  <c r="BK4" i="1"/>
  <c r="BK6" i="1" s="1"/>
  <c r="BK11" i="1" s="1"/>
  <c r="BL4" i="1"/>
  <c r="BL6" i="1" s="1"/>
  <c r="BL11" i="1" s="1"/>
  <c r="BM4" i="1"/>
  <c r="BM6" i="1" s="1"/>
  <c r="BM11" i="1" s="1"/>
  <c r="BN4" i="1"/>
  <c r="BN6" i="1" s="1"/>
  <c r="BN11" i="1" s="1"/>
  <c r="BO4" i="1"/>
  <c r="BO6" i="1" s="1"/>
  <c r="BO11" i="1" s="1"/>
  <c r="BP4" i="1"/>
  <c r="BP6" i="1" s="1"/>
  <c r="BP11" i="1" s="1"/>
  <c r="BQ4" i="1"/>
  <c r="BQ6" i="1" s="1"/>
  <c r="BQ11" i="1" s="1"/>
  <c r="BR4" i="1"/>
  <c r="BR6" i="1" s="1"/>
  <c r="BR11" i="1" s="1"/>
  <c r="BS4" i="1"/>
  <c r="BS6" i="1" s="1"/>
  <c r="BS11" i="1" s="1"/>
  <c r="BT4" i="1"/>
  <c r="BT6" i="1" s="1"/>
  <c r="BT11" i="1" s="1"/>
  <c r="BU4" i="1"/>
  <c r="BU6" i="1" s="1"/>
  <c r="BU11" i="1" s="1"/>
  <c r="BV4" i="1"/>
  <c r="BV6" i="1" s="1"/>
  <c r="BV11" i="1" s="1"/>
  <c r="BW4" i="1"/>
  <c r="BW6" i="1" s="1"/>
  <c r="BW11" i="1" s="1"/>
  <c r="BX4" i="1"/>
  <c r="BX6" i="1" s="1"/>
  <c r="BX11" i="1" s="1"/>
  <c r="BY4" i="1"/>
  <c r="BY6" i="1" s="1"/>
  <c r="BY11" i="1" s="1"/>
  <c r="BZ4" i="1"/>
  <c r="BZ6" i="1" s="1"/>
  <c r="BZ11" i="1" s="1"/>
  <c r="CA4" i="1"/>
  <c r="CA6" i="1" s="1"/>
  <c r="CA11" i="1" s="1"/>
  <c r="CB4" i="1"/>
  <c r="CB6" i="1" s="1"/>
  <c r="CB11" i="1" s="1"/>
  <c r="CC4" i="1"/>
  <c r="CC6" i="1" s="1"/>
  <c r="CC11" i="1" s="1"/>
  <c r="CD4" i="1"/>
  <c r="CD6" i="1" s="1"/>
  <c r="CD11" i="1" s="1"/>
  <c r="CE4" i="1"/>
  <c r="CE6" i="1" s="1"/>
  <c r="CE11" i="1" s="1"/>
  <c r="CF4" i="1"/>
  <c r="CF6" i="1" s="1"/>
  <c r="CF11" i="1" s="1"/>
  <c r="CG4" i="1"/>
  <c r="CG6" i="1" s="1"/>
  <c r="CG11" i="1" s="1"/>
  <c r="CH4" i="1"/>
  <c r="CH6" i="1" s="1"/>
  <c r="CH11" i="1" s="1"/>
  <c r="CI4" i="1"/>
  <c r="CI6" i="1" s="1"/>
  <c r="CI11" i="1" s="1"/>
  <c r="CJ4" i="1"/>
  <c r="CJ6" i="1" s="1"/>
  <c r="CJ11" i="1" s="1"/>
  <c r="CK4" i="1"/>
  <c r="CK6" i="1" s="1"/>
  <c r="CK11" i="1" s="1"/>
  <c r="CL4" i="1"/>
  <c r="CL6" i="1" s="1"/>
  <c r="CL11" i="1" s="1"/>
  <c r="CM4" i="1"/>
  <c r="CM6" i="1" s="1"/>
  <c r="CM11" i="1" s="1"/>
  <c r="CN4" i="1"/>
  <c r="CN6" i="1" s="1"/>
  <c r="CN11" i="1" s="1"/>
  <c r="CO4" i="1"/>
  <c r="CO6" i="1" s="1"/>
  <c r="CO11" i="1" s="1"/>
  <c r="CP4" i="1"/>
  <c r="CP6" i="1" s="1"/>
  <c r="CP11" i="1" s="1"/>
  <c r="CQ4" i="1"/>
  <c r="CQ6" i="1" s="1"/>
  <c r="CQ11" i="1" s="1"/>
  <c r="CR4" i="1"/>
  <c r="CR6" i="1" s="1"/>
  <c r="CR11" i="1" s="1"/>
  <c r="CS4" i="1"/>
  <c r="CS6" i="1" s="1"/>
  <c r="CS11" i="1" s="1"/>
  <c r="CT4" i="1"/>
  <c r="CT6" i="1" s="1"/>
  <c r="CT11" i="1" s="1"/>
  <c r="CU4" i="1"/>
  <c r="CU6" i="1" s="1"/>
  <c r="CU11" i="1" s="1"/>
  <c r="CV4" i="1"/>
  <c r="CV6" i="1" s="1"/>
  <c r="CV11" i="1" s="1"/>
  <c r="CW4" i="1"/>
  <c r="CW6" i="1" s="1"/>
  <c r="CW11" i="1" s="1"/>
  <c r="CX4" i="1"/>
  <c r="CX6" i="1" s="1"/>
  <c r="CX11" i="1" s="1"/>
  <c r="CY4" i="1"/>
  <c r="CY6" i="1" s="1"/>
  <c r="CY11" i="1" s="1"/>
  <c r="CZ4" i="1"/>
  <c r="CZ6" i="1" s="1"/>
  <c r="CZ11" i="1" s="1"/>
  <c r="DA4" i="1"/>
  <c r="DA6" i="1" s="1"/>
  <c r="DA11" i="1" s="1"/>
  <c r="DB4" i="1"/>
  <c r="DB6" i="1" s="1"/>
  <c r="DB11" i="1" s="1"/>
  <c r="DC4" i="1"/>
  <c r="DC6" i="1" s="1"/>
  <c r="DC11" i="1" s="1"/>
  <c r="DD4" i="1"/>
  <c r="DD6" i="1" s="1"/>
  <c r="DD11" i="1" s="1"/>
  <c r="DE4" i="1"/>
  <c r="DE6" i="1" s="1"/>
  <c r="DE11" i="1" s="1"/>
  <c r="DF4" i="1"/>
  <c r="DF6" i="1" s="1"/>
  <c r="DF11" i="1" s="1"/>
  <c r="DG4" i="1"/>
  <c r="DG6" i="1" s="1"/>
  <c r="DG11" i="1" s="1"/>
  <c r="DH4" i="1"/>
  <c r="DH6" i="1" s="1"/>
  <c r="DH11" i="1" s="1"/>
  <c r="DI4" i="1"/>
  <c r="DI6" i="1" s="1"/>
  <c r="DI11" i="1" s="1"/>
  <c r="DJ4" i="1"/>
  <c r="DJ6" i="1" s="1"/>
  <c r="DJ11" i="1" s="1"/>
  <c r="DK4" i="1"/>
  <c r="DK6" i="1" s="1"/>
  <c r="DK11" i="1" s="1"/>
  <c r="DL4" i="1"/>
  <c r="DL6" i="1" s="1"/>
  <c r="DL11" i="1" s="1"/>
  <c r="DM4" i="1"/>
  <c r="DM6" i="1" s="1"/>
  <c r="DM11" i="1" s="1"/>
  <c r="DN4" i="1"/>
  <c r="DN6" i="1" s="1"/>
  <c r="DN11" i="1" s="1"/>
  <c r="DO4" i="1"/>
  <c r="DO6" i="1" s="1"/>
  <c r="DO11" i="1" s="1"/>
  <c r="DP4" i="1"/>
  <c r="DP6" i="1" s="1"/>
  <c r="DP11" i="1" s="1"/>
  <c r="DQ4" i="1"/>
  <c r="DQ6" i="1" s="1"/>
  <c r="DQ11" i="1" s="1"/>
  <c r="DR4" i="1"/>
  <c r="DR6" i="1" s="1"/>
  <c r="DR11" i="1" s="1"/>
  <c r="DS4" i="1"/>
  <c r="DS6" i="1" s="1"/>
  <c r="DS11" i="1" s="1"/>
  <c r="DT4" i="1"/>
  <c r="DT6" i="1" s="1"/>
  <c r="DT11" i="1" s="1"/>
  <c r="DU4" i="1"/>
  <c r="DU6" i="1" s="1"/>
  <c r="DU11" i="1" s="1"/>
  <c r="DV4" i="1"/>
  <c r="DV6" i="1" s="1"/>
  <c r="DV11" i="1" s="1"/>
  <c r="DW4" i="1"/>
  <c r="DW6" i="1" s="1"/>
  <c r="DW11" i="1" s="1"/>
  <c r="DX4" i="1"/>
  <c r="DX6" i="1" s="1"/>
  <c r="DX11" i="1" s="1"/>
  <c r="DY4" i="1"/>
  <c r="DY6" i="1" s="1"/>
  <c r="DY11" i="1" s="1"/>
  <c r="DZ4" i="1"/>
  <c r="DZ6" i="1" s="1"/>
  <c r="DZ11" i="1" s="1"/>
  <c r="EA4" i="1"/>
  <c r="EA6" i="1" s="1"/>
  <c r="EA11" i="1" s="1"/>
  <c r="EB4" i="1"/>
  <c r="EB6" i="1" s="1"/>
  <c r="EB11" i="1" s="1"/>
  <c r="EC4" i="1"/>
  <c r="EC6" i="1" s="1"/>
  <c r="EC11" i="1" s="1"/>
  <c r="ED4" i="1"/>
  <c r="ED6" i="1" s="1"/>
  <c r="ED11" i="1" s="1"/>
  <c r="EE4" i="1"/>
  <c r="EE6" i="1" s="1"/>
  <c r="EE11" i="1" s="1"/>
  <c r="EF4" i="1"/>
  <c r="EF6" i="1" s="1"/>
  <c r="EF11" i="1" s="1"/>
  <c r="EG4" i="1"/>
  <c r="EG6" i="1" s="1"/>
  <c r="EG11" i="1" s="1"/>
  <c r="EH4" i="1"/>
  <c r="EH6" i="1" s="1"/>
  <c r="EH11" i="1" s="1"/>
  <c r="EI4" i="1"/>
  <c r="EI6" i="1" s="1"/>
  <c r="EI11" i="1" s="1"/>
  <c r="EJ4" i="1"/>
  <c r="EJ6" i="1" s="1"/>
  <c r="EJ11" i="1" s="1"/>
  <c r="EK4" i="1"/>
  <c r="EK6" i="1" s="1"/>
  <c r="EK11" i="1" s="1"/>
  <c r="EL4" i="1"/>
  <c r="EL6" i="1" s="1"/>
  <c r="EL11" i="1" s="1"/>
  <c r="EM4" i="1"/>
  <c r="EM6" i="1" s="1"/>
  <c r="EM11" i="1" s="1"/>
  <c r="EN4" i="1"/>
  <c r="EN6" i="1" s="1"/>
  <c r="EN11" i="1" s="1"/>
  <c r="EO4" i="1"/>
  <c r="EO6" i="1" s="1"/>
  <c r="EO11" i="1" s="1"/>
  <c r="EP4" i="1"/>
  <c r="EP6" i="1" s="1"/>
  <c r="EP11" i="1" s="1"/>
  <c r="EQ4" i="1"/>
  <c r="EQ6" i="1" s="1"/>
  <c r="EQ11" i="1" s="1"/>
  <c r="ER4" i="1"/>
  <c r="ER6" i="1" s="1"/>
  <c r="ER11" i="1" s="1"/>
  <c r="ES4" i="1"/>
  <c r="ES6" i="1" s="1"/>
  <c r="ES11" i="1" s="1"/>
  <c r="ET4" i="1"/>
  <c r="ET6" i="1" s="1"/>
  <c r="ET11" i="1" s="1"/>
  <c r="EU4" i="1"/>
  <c r="EU6" i="1" s="1"/>
  <c r="EU11" i="1" s="1"/>
  <c r="EV4" i="1"/>
  <c r="EV6" i="1" s="1"/>
  <c r="EV11" i="1" s="1"/>
  <c r="EW4" i="1"/>
  <c r="EW6" i="1" s="1"/>
  <c r="EW11" i="1" s="1"/>
  <c r="EX4" i="1"/>
  <c r="EX6" i="1" s="1"/>
  <c r="EX11" i="1" s="1"/>
  <c r="C4" i="1"/>
  <c r="C6" i="1" s="1"/>
  <c r="C11" i="1" s="1"/>
  <c r="B4" i="1"/>
  <c r="B6" i="1" s="1"/>
  <c r="B11" i="1" s="1"/>
</calcChain>
</file>

<file path=xl/sharedStrings.xml><?xml version="1.0" encoding="utf-8"?>
<sst xmlns="http://schemas.openxmlformats.org/spreadsheetml/2006/main" count="6" uniqueCount="6">
  <si>
    <t>Total savers (number)</t>
  </si>
  <si>
    <t>Total interest income of savers (dollars x 1,000)</t>
  </si>
  <si>
    <t>Residual</t>
  </si>
  <si>
    <t>Standard Error of Estimate</t>
  </si>
  <si>
    <t>Estimate</t>
  </si>
  <si>
    <t>axis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</si>
</sst>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Interest Income of Savers vs. Number of Savers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'cansim-1110036-eng-557151357758'!$A$14</c:f>
              <c:strCache>
                <c:ptCount val="1"/>
                <c:pt idx="0">
                  <c:v>Total savers (number)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716311756370937"/>
                  <c:y val="6.4221418064365252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cy-GB" sz="900" b="0" i="0" u="none" strike="noStrike" baseline="0">
                        <a:effectLst/>
                      </a:rPr>
                      <a:t>ŷ</a:t>
                    </a:r>
                    <a:r>
                      <a:rPr lang="en-US" baseline="0"/>
                      <a:t> = </a:t>
                    </a:r>
                    <a:r>
                      <a:rPr lang="en-US" sz="900" b="0" i="0" u="none" strike="noStrike" baseline="0">
                        <a:effectLst/>
                      </a:rPr>
                      <a:t>16728</a:t>
                    </a:r>
                    <a:r>
                      <a:rPr lang="en-US" baseline="0"/>
                      <a:t> + 0.6082x </a:t>
                    </a:r>
                    <a:br>
                      <a:rPr lang="en-US" baseline="0"/>
                    </a:br>
                    <a:r>
                      <a:rPr lang="en-US" baseline="0"/>
                      <a:t>R² = 0.9743</a:t>
                    </a:r>
                    <a:endParaRPr lang="en-US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'cansim-1110036-eng-557151357758'!$B$13:$EX$13</c:f>
              <c:numCache>
                <c:formatCode>General</c:formatCode>
                <c:ptCount val="153"/>
                <c:pt idx="0">
                  <c:v>63965</c:v>
                </c:pt>
                <c:pt idx="1">
                  <c:v>48070</c:v>
                </c:pt>
                <c:pt idx="2">
                  <c:v>33840</c:v>
                </c:pt>
                <c:pt idx="3">
                  <c:v>31485</c:v>
                </c:pt>
                <c:pt idx="4">
                  <c:v>33375</c:v>
                </c:pt>
                <c:pt idx="5">
                  <c:v>33625</c:v>
                </c:pt>
                <c:pt idx="6">
                  <c:v>29265</c:v>
                </c:pt>
                <c:pt idx="7">
                  <c:v>27915</c:v>
                </c:pt>
                <c:pt idx="8">
                  <c:v>23930</c:v>
                </c:pt>
                <c:pt idx="9">
                  <c:v>22790</c:v>
                </c:pt>
                <c:pt idx="10">
                  <c:v>18660</c:v>
                </c:pt>
                <c:pt idx="11">
                  <c:v>15200</c:v>
                </c:pt>
                <c:pt idx="12">
                  <c:v>14555</c:v>
                </c:pt>
                <c:pt idx="13">
                  <c:v>14910</c:v>
                </c:pt>
                <c:pt idx="14">
                  <c:v>14435</c:v>
                </c:pt>
                <c:pt idx="15">
                  <c:v>12960</c:v>
                </c:pt>
                <c:pt idx="16">
                  <c:v>13145</c:v>
                </c:pt>
                <c:pt idx="17">
                  <c:v>12110</c:v>
                </c:pt>
                <c:pt idx="18">
                  <c:v>131110</c:v>
                </c:pt>
                <c:pt idx="19">
                  <c:v>106250</c:v>
                </c:pt>
                <c:pt idx="20">
                  <c:v>81460</c:v>
                </c:pt>
                <c:pt idx="21">
                  <c:v>73925</c:v>
                </c:pt>
                <c:pt idx="22">
                  <c:v>70975</c:v>
                </c:pt>
                <c:pt idx="23">
                  <c:v>77020</c:v>
                </c:pt>
                <c:pt idx="24">
                  <c:v>67775</c:v>
                </c:pt>
                <c:pt idx="25">
                  <c:v>61455</c:v>
                </c:pt>
                <c:pt idx="26">
                  <c:v>53655</c:v>
                </c:pt>
                <c:pt idx="27">
                  <c:v>99575</c:v>
                </c:pt>
                <c:pt idx="28">
                  <c:v>83510</c:v>
                </c:pt>
                <c:pt idx="29">
                  <c:v>64260</c:v>
                </c:pt>
                <c:pt idx="30">
                  <c:v>57250</c:v>
                </c:pt>
                <c:pt idx="31">
                  <c:v>56340</c:v>
                </c:pt>
                <c:pt idx="32">
                  <c:v>57375</c:v>
                </c:pt>
                <c:pt idx="33">
                  <c:v>50365</c:v>
                </c:pt>
                <c:pt idx="34">
                  <c:v>47515</c:v>
                </c:pt>
                <c:pt idx="35">
                  <c:v>41955</c:v>
                </c:pt>
                <c:pt idx="36">
                  <c:v>1894065</c:v>
                </c:pt>
                <c:pt idx="37">
                  <c:v>1668700</c:v>
                </c:pt>
                <c:pt idx="38">
                  <c:v>1345645</c:v>
                </c:pt>
                <c:pt idx="39">
                  <c:v>1261580</c:v>
                </c:pt>
                <c:pt idx="40">
                  <c:v>1194935</c:v>
                </c:pt>
                <c:pt idx="41">
                  <c:v>1129640</c:v>
                </c:pt>
                <c:pt idx="42">
                  <c:v>1085085</c:v>
                </c:pt>
                <c:pt idx="43">
                  <c:v>1006345</c:v>
                </c:pt>
                <c:pt idx="44">
                  <c:v>925375</c:v>
                </c:pt>
                <c:pt idx="45">
                  <c:v>3812205</c:v>
                </c:pt>
                <c:pt idx="46">
                  <c:v>3114925</c:v>
                </c:pt>
                <c:pt idx="47">
                  <c:v>2389440</c:v>
                </c:pt>
                <c:pt idx="48">
                  <c:v>2112855</c:v>
                </c:pt>
                <c:pt idx="49">
                  <c:v>2030985</c:v>
                </c:pt>
                <c:pt idx="50">
                  <c:v>1968185</c:v>
                </c:pt>
                <c:pt idx="51">
                  <c:v>1926280</c:v>
                </c:pt>
                <c:pt idx="52">
                  <c:v>1809260</c:v>
                </c:pt>
                <c:pt idx="53">
                  <c:v>1706710</c:v>
                </c:pt>
                <c:pt idx="54">
                  <c:v>309770</c:v>
                </c:pt>
                <c:pt idx="55">
                  <c:v>254175</c:v>
                </c:pt>
                <c:pt idx="56">
                  <c:v>211360</c:v>
                </c:pt>
                <c:pt idx="57">
                  <c:v>198290</c:v>
                </c:pt>
                <c:pt idx="58">
                  <c:v>195730</c:v>
                </c:pt>
                <c:pt idx="59">
                  <c:v>184020</c:v>
                </c:pt>
                <c:pt idx="60">
                  <c:v>173235</c:v>
                </c:pt>
                <c:pt idx="61">
                  <c:v>161840</c:v>
                </c:pt>
                <c:pt idx="62">
                  <c:v>151860</c:v>
                </c:pt>
                <c:pt idx="63">
                  <c:v>333205</c:v>
                </c:pt>
                <c:pt idx="64">
                  <c:v>274645</c:v>
                </c:pt>
                <c:pt idx="65">
                  <c:v>221845</c:v>
                </c:pt>
                <c:pt idx="66">
                  <c:v>193555</c:v>
                </c:pt>
                <c:pt idx="67">
                  <c:v>177680</c:v>
                </c:pt>
                <c:pt idx="68">
                  <c:v>173045</c:v>
                </c:pt>
                <c:pt idx="69">
                  <c:v>170030</c:v>
                </c:pt>
                <c:pt idx="70">
                  <c:v>150745</c:v>
                </c:pt>
                <c:pt idx="71">
                  <c:v>128340</c:v>
                </c:pt>
                <c:pt idx="72">
                  <c:v>979215</c:v>
                </c:pt>
                <c:pt idx="73">
                  <c:v>777500</c:v>
                </c:pt>
                <c:pt idx="74">
                  <c:v>616250</c:v>
                </c:pt>
                <c:pt idx="75">
                  <c:v>549705</c:v>
                </c:pt>
                <c:pt idx="76">
                  <c:v>517350</c:v>
                </c:pt>
                <c:pt idx="77">
                  <c:v>501855</c:v>
                </c:pt>
                <c:pt idx="78">
                  <c:v>500285</c:v>
                </c:pt>
                <c:pt idx="79">
                  <c:v>451120</c:v>
                </c:pt>
                <c:pt idx="80">
                  <c:v>429815</c:v>
                </c:pt>
                <c:pt idx="81">
                  <c:v>1757565</c:v>
                </c:pt>
                <c:pt idx="82">
                  <c:v>1432155</c:v>
                </c:pt>
                <c:pt idx="83">
                  <c:v>1026005</c:v>
                </c:pt>
                <c:pt idx="84">
                  <c:v>959820</c:v>
                </c:pt>
                <c:pt idx="85">
                  <c:v>963260</c:v>
                </c:pt>
                <c:pt idx="86">
                  <c:v>977845</c:v>
                </c:pt>
                <c:pt idx="87">
                  <c:v>973645</c:v>
                </c:pt>
                <c:pt idx="88">
                  <c:v>931195</c:v>
                </c:pt>
                <c:pt idx="89">
                  <c:v>882440</c:v>
                </c:pt>
                <c:pt idx="90">
                  <c:v>4555</c:v>
                </c:pt>
                <c:pt idx="91">
                  <c:v>3600</c:v>
                </c:pt>
                <c:pt idx="92">
                  <c:v>2910</c:v>
                </c:pt>
                <c:pt idx="93">
                  <c:v>2560</c:v>
                </c:pt>
                <c:pt idx="94">
                  <c:v>2560</c:v>
                </c:pt>
                <c:pt idx="95">
                  <c:v>2845</c:v>
                </c:pt>
                <c:pt idx="96">
                  <c:v>2825</c:v>
                </c:pt>
                <c:pt idx="97">
                  <c:v>2640</c:v>
                </c:pt>
                <c:pt idx="98">
                  <c:v>2380</c:v>
                </c:pt>
                <c:pt idx="99">
                  <c:v>3365</c:v>
                </c:pt>
                <c:pt idx="100">
                  <c:v>2595</c:v>
                </c:pt>
                <c:pt idx="101">
                  <c:v>1725</c:v>
                </c:pt>
                <c:pt idx="102">
                  <c:v>1850</c:v>
                </c:pt>
                <c:pt idx="103">
                  <c:v>1685</c:v>
                </c:pt>
                <c:pt idx="104">
                  <c:v>1575</c:v>
                </c:pt>
                <c:pt idx="105">
                  <c:v>1590</c:v>
                </c:pt>
                <c:pt idx="106">
                  <c:v>1490</c:v>
                </c:pt>
                <c:pt idx="107">
                  <c:v>1230</c:v>
                </c:pt>
                <c:pt idx="108">
                  <c:v>695</c:v>
                </c:pt>
                <c:pt idx="109">
                  <c:v>490</c:v>
                </c:pt>
                <c:pt idx="110">
                  <c:v>360</c:v>
                </c:pt>
                <c:pt idx="111">
                  <c:v>390</c:v>
                </c:pt>
                <c:pt idx="112">
                  <c:v>400</c:v>
                </c:pt>
                <c:pt idx="113">
                  <c:v>440</c:v>
                </c:pt>
                <c:pt idx="114">
                  <c:v>435</c:v>
                </c:pt>
                <c:pt idx="115">
                  <c:v>345</c:v>
                </c:pt>
                <c:pt idx="116">
                  <c:v>300</c:v>
                </c:pt>
                <c:pt idx="117">
                  <c:v>2445</c:v>
                </c:pt>
                <c:pt idx="118">
                  <c:v>1965</c:v>
                </c:pt>
                <c:pt idx="119">
                  <c:v>1530</c:v>
                </c:pt>
                <c:pt idx="120">
                  <c:v>1360</c:v>
                </c:pt>
                <c:pt idx="121">
                  <c:v>1135</c:v>
                </c:pt>
                <c:pt idx="122">
                  <c:v>1140</c:v>
                </c:pt>
                <c:pt idx="123">
                  <c:v>1085</c:v>
                </c:pt>
                <c:pt idx="124">
                  <c:v>920</c:v>
                </c:pt>
                <c:pt idx="125">
                  <c:v>870</c:v>
                </c:pt>
                <c:pt idx="126">
                  <c:v>4230</c:v>
                </c:pt>
                <c:pt idx="127">
                  <c:v>4000</c:v>
                </c:pt>
                <c:pt idx="128">
                  <c:v>3155</c:v>
                </c:pt>
                <c:pt idx="129">
                  <c:v>2870</c:v>
                </c:pt>
                <c:pt idx="130">
                  <c:v>2585</c:v>
                </c:pt>
                <c:pt idx="131">
                  <c:v>2350</c:v>
                </c:pt>
                <c:pt idx="132">
                  <c:v>2320</c:v>
                </c:pt>
                <c:pt idx="133">
                  <c:v>2090</c:v>
                </c:pt>
                <c:pt idx="134">
                  <c:v>1880</c:v>
                </c:pt>
                <c:pt idx="135">
                  <c:v>306970</c:v>
                </c:pt>
                <c:pt idx="136">
                  <c:v>256455</c:v>
                </c:pt>
                <c:pt idx="137">
                  <c:v>201800</c:v>
                </c:pt>
                <c:pt idx="138">
                  <c:v>185150</c:v>
                </c:pt>
                <c:pt idx="139">
                  <c:v>180310</c:v>
                </c:pt>
                <c:pt idx="140">
                  <c:v>179825</c:v>
                </c:pt>
                <c:pt idx="141">
                  <c:v>165835</c:v>
                </c:pt>
                <c:pt idx="142">
                  <c:v>155930</c:v>
                </c:pt>
                <c:pt idx="143">
                  <c:v>142155</c:v>
                </c:pt>
                <c:pt idx="144">
                  <c:v>12420</c:v>
                </c:pt>
                <c:pt idx="145">
                  <c:v>8560</c:v>
                </c:pt>
                <c:pt idx="146">
                  <c:v>7535</c:v>
                </c:pt>
                <c:pt idx="147">
                  <c:v>6830</c:v>
                </c:pt>
                <c:pt idx="148">
                  <c:v>5845</c:v>
                </c:pt>
                <c:pt idx="149">
                  <c:v>6070</c:v>
                </c:pt>
                <c:pt idx="150">
                  <c:v>6100</c:v>
                </c:pt>
                <c:pt idx="151">
                  <c:v>4290</c:v>
                </c:pt>
                <c:pt idx="152">
                  <c:v>3750</c:v>
                </c:pt>
              </c:numCache>
            </c:numRef>
          </c:xVal>
          <c:yVal>
            <c:numRef>
              <c:f>'cansim-1110036-eng-557151357758'!$B$14:$EX$14</c:f>
              <c:numCache>
                <c:formatCode>General</c:formatCode>
                <c:ptCount val="153"/>
                <c:pt idx="0">
                  <c:v>59080</c:v>
                </c:pt>
                <c:pt idx="1">
                  <c:v>46920</c:v>
                </c:pt>
                <c:pt idx="2">
                  <c:v>36650</c:v>
                </c:pt>
                <c:pt idx="3">
                  <c:v>38160</c:v>
                </c:pt>
                <c:pt idx="4">
                  <c:v>38310</c:v>
                </c:pt>
                <c:pt idx="5">
                  <c:v>38730</c:v>
                </c:pt>
                <c:pt idx="6">
                  <c:v>38790</c:v>
                </c:pt>
                <c:pt idx="7">
                  <c:v>36180</c:v>
                </c:pt>
                <c:pt idx="8">
                  <c:v>32610</c:v>
                </c:pt>
                <c:pt idx="9">
                  <c:v>18590</c:v>
                </c:pt>
                <c:pt idx="10">
                  <c:v>15970</c:v>
                </c:pt>
                <c:pt idx="11">
                  <c:v>13740</c:v>
                </c:pt>
                <c:pt idx="12">
                  <c:v>13780</c:v>
                </c:pt>
                <c:pt idx="13">
                  <c:v>13730</c:v>
                </c:pt>
                <c:pt idx="14">
                  <c:v>13080</c:v>
                </c:pt>
                <c:pt idx="15">
                  <c:v>12810</c:v>
                </c:pt>
                <c:pt idx="16">
                  <c:v>10850</c:v>
                </c:pt>
                <c:pt idx="17">
                  <c:v>11640</c:v>
                </c:pt>
                <c:pt idx="18">
                  <c:v>107750</c:v>
                </c:pt>
                <c:pt idx="19">
                  <c:v>90100</c:v>
                </c:pt>
                <c:pt idx="20">
                  <c:v>77230</c:v>
                </c:pt>
                <c:pt idx="21">
                  <c:v>75320</c:v>
                </c:pt>
                <c:pt idx="22">
                  <c:v>73330</c:v>
                </c:pt>
                <c:pt idx="23">
                  <c:v>72720</c:v>
                </c:pt>
                <c:pt idx="24">
                  <c:v>70360</c:v>
                </c:pt>
                <c:pt idx="25">
                  <c:v>64540</c:v>
                </c:pt>
                <c:pt idx="26">
                  <c:v>59110</c:v>
                </c:pt>
                <c:pt idx="27">
                  <c:v>87870</c:v>
                </c:pt>
                <c:pt idx="28">
                  <c:v>73040</c:v>
                </c:pt>
                <c:pt idx="29">
                  <c:v>59430</c:v>
                </c:pt>
                <c:pt idx="30">
                  <c:v>58160</c:v>
                </c:pt>
                <c:pt idx="31">
                  <c:v>56280</c:v>
                </c:pt>
                <c:pt idx="32">
                  <c:v>55750</c:v>
                </c:pt>
                <c:pt idx="33">
                  <c:v>53920</c:v>
                </c:pt>
                <c:pt idx="34">
                  <c:v>50640</c:v>
                </c:pt>
                <c:pt idx="35">
                  <c:v>46170</c:v>
                </c:pt>
                <c:pt idx="36">
                  <c:v>1210190</c:v>
                </c:pt>
                <c:pt idx="37">
                  <c:v>1087700</c:v>
                </c:pt>
                <c:pt idx="38">
                  <c:v>866820</c:v>
                </c:pt>
                <c:pt idx="39">
                  <c:v>871370</c:v>
                </c:pt>
                <c:pt idx="40">
                  <c:v>869660</c:v>
                </c:pt>
                <c:pt idx="41">
                  <c:v>881460</c:v>
                </c:pt>
                <c:pt idx="42">
                  <c:v>855670</c:v>
                </c:pt>
                <c:pt idx="43">
                  <c:v>790360</c:v>
                </c:pt>
                <c:pt idx="44">
                  <c:v>746890</c:v>
                </c:pt>
                <c:pt idx="45">
                  <c:v>1997200</c:v>
                </c:pt>
                <c:pt idx="46">
                  <c:v>1702120</c:v>
                </c:pt>
                <c:pt idx="47">
                  <c:v>1468510</c:v>
                </c:pt>
                <c:pt idx="48">
                  <c:v>1426370</c:v>
                </c:pt>
                <c:pt idx="49">
                  <c:v>1409510</c:v>
                </c:pt>
                <c:pt idx="50">
                  <c:v>1382690</c:v>
                </c:pt>
                <c:pt idx="51">
                  <c:v>1357460</c:v>
                </c:pt>
                <c:pt idx="52">
                  <c:v>1250730</c:v>
                </c:pt>
                <c:pt idx="53">
                  <c:v>1208060</c:v>
                </c:pt>
                <c:pt idx="54">
                  <c:v>197930</c:v>
                </c:pt>
                <c:pt idx="55">
                  <c:v>167070</c:v>
                </c:pt>
                <c:pt idx="56">
                  <c:v>147720</c:v>
                </c:pt>
                <c:pt idx="57">
                  <c:v>148050</c:v>
                </c:pt>
                <c:pt idx="58">
                  <c:v>146740</c:v>
                </c:pt>
                <c:pt idx="59">
                  <c:v>144560</c:v>
                </c:pt>
                <c:pt idx="60">
                  <c:v>142250</c:v>
                </c:pt>
                <c:pt idx="61">
                  <c:v>136030</c:v>
                </c:pt>
                <c:pt idx="62">
                  <c:v>128650</c:v>
                </c:pt>
                <c:pt idx="63">
                  <c:v>169300</c:v>
                </c:pt>
                <c:pt idx="64">
                  <c:v>143600</c:v>
                </c:pt>
                <c:pt idx="65">
                  <c:v>124970</c:v>
                </c:pt>
                <c:pt idx="66">
                  <c:v>123480</c:v>
                </c:pt>
                <c:pt idx="67">
                  <c:v>120800</c:v>
                </c:pt>
                <c:pt idx="68">
                  <c:v>121820</c:v>
                </c:pt>
                <c:pt idx="69">
                  <c:v>121670</c:v>
                </c:pt>
                <c:pt idx="70">
                  <c:v>113370</c:v>
                </c:pt>
                <c:pt idx="71">
                  <c:v>105850</c:v>
                </c:pt>
                <c:pt idx="72">
                  <c:v>517080</c:v>
                </c:pt>
                <c:pt idx="73">
                  <c:v>441790</c:v>
                </c:pt>
                <c:pt idx="74">
                  <c:v>382480</c:v>
                </c:pt>
                <c:pt idx="75">
                  <c:v>373800</c:v>
                </c:pt>
                <c:pt idx="76">
                  <c:v>370170</c:v>
                </c:pt>
                <c:pt idx="77">
                  <c:v>379400</c:v>
                </c:pt>
                <c:pt idx="78">
                  <c:v>384070</c:v>
                </c:pt>
                <c:pt idx="79">
                  <c:v>357350</c:v>
                </c:pt>
                <c:pt idx="80">
                  <c:v>339490</c:v>
                </c:pt>
                <c:pt idx="81">
                  <c:v>791900</c:v>
                </c:pt>
                <c:pt idx="82">
                  <c:v>693630</c:v>
                </c:pt>
                <c:pt idx="83">
                  <c:v>600620</c:v>
                </c:pt>
                <c:pt idx="84">
                  <c:v>591330</c:v>
                </c:pt>
                <c:pt idx="85">
                  <c:v>587790</c:v>
                </c:pt>
                <c:pt idx="86">
                  <c:v>581510</c:v>
                </c:pt>
                <c:pt idx="87">
                  <c:v>580340</c:v>
                </c:pt>
                <c:pt idx="88">
                  <c:v>541710</c:v>
                </c:pt>
                <c:pt idx="89">
                  <c:v>525510</c:v>
                </c:pt>
                <c:pt idx="90">
                  <c:v>3580</c:v>
                </c:pt>
                <c:pt idx="91">
                  <c:v>2860</c:v>
                </c:pt>
                <c:pt idx="92">
                  <c:v>2490</c:v>
                </c:pt>
                <c:pt idx="93">
                  <c:v>2500</c:v>
                </c:pt>
                <c:pt idx="94">
                  <c:v>2610</c:v>
                </c:pt>
                <c:pt idx="95">
                  <c:v>2530</c:v>
                </c:pt>
                <c:pt idx="96">
                  <c:v>2560</c:v>
                </c:pt>
                <c:pt idx="97">
                  <c:v>2390</c:v>
                </c:pt>
                <c:pt idx="98">
                  <c:v>2290</c:v>
                </c:pt>
                <c:pt idx="99">
                  <c:v>3770</c:v>
                </c:pt>
                <c:pt idx="100">
                  <c:v>3060</c:v>
                </c:pt>
                <c:pt idx="101">
                  <c:v>2470</c:v>
                </c:pt>
                <c:pt idx="102">
                  <c:v>2490</c:v>
                </c:pt>
                <c:pt idx="103">
                  <c:v>2140</c:v>
                </c:pt>
                <c:pt idx="104">
                  <c:v>2160</c:v>
                </c:pt>
                <c:pt idx="105">
                  <c:v>2240</c:v>
                </c:pt>
                <c:pt idx="106">
                  <c:v>2080</c:v>
                </c:pt>
                <c:pt idx="107">
                  <c:v>1920</c:v>
                </c:pt>
                <c:pt idx="108">
                  <c:v>820</c:v>
                </c:pt>
                <c:pt idx="109">
                  <c:v>710</c:v>
                </c:pt>
                <c:pt idx="110">
                  <c:v>620</c:v>
                </c:pt>
                <c:pt idx="111">
                  <c:v>590</c:v>
                </c:pt>
                <c:pt idx="112">
                  <c:v>650</c:v>
                </c:pt>
                <c:pt idx="113">
                  <c:v>650</c:v>
                </c:pt>
                <c:pt idx="114">
                  <c:v>670</c:v>
                </c:pt>
                <c:pt idx="115">
                  <c:v>610</c:v>
                </c:pt>
                <c:pt idx="116">
                  <c:v>590</c:v>
                </c:pt>
                <c:pt idx="117">
                  <c:v>1990</c:v>
                </c:pt>
                <c:pt idx="118">
                  <c:v>1680</c:v>
                </c:pt>
                <c:pt idx="119">
                  <c:v>1360</c:v>
                </c:pt>
                <c:pt idx="120">
                  <c:v>1350</c:v>
                </c:pt>
                <c:pt idx="121">
                  <c:v>1240</c:v>
                </c:pt>
                <c:pt idx="122">
                  <c:v>1210</c:v>
                </c:pt>
                <c:pt idx="123">
                  <c:v>1160</c:v>
                </c:pt>
                <c:pt idx="124">
                  <c:v>1150</c:v>
                </c:pt>
                <c:pt idx="125">
                  <c:v>970</c:v>
                </c:pt>
                <c:pt idx="126">
                  <c:v>1960</c:v>
                </c:pt>
                <c:pt idx="127">
                  <c:v>1790</c:v>
                </c:pt>
                <c:pt idx="128">
                  <c:v>1500</c:v>
                </c:pt>
                <c:pt idx="129">
                  <c:v>1450</c:v>
                </c:pt>
                <c:pt idx="130">
                  <c:v>1340</c:v>
                </c:pt>
                <c:pt idx="131">
                  <c:v>1360</c:v>
                </c:pt>
                <c:pt idx="132">
                  <c:v>1320</c:v>
                </c:pt>
                <c:pt idx="133">
                  <c:v>1160</c:v>
                </c:pt>
                <c:pt idx="134">
                  <c:v>1160</c:v>
                </c:pt>
                <c:pt idx="135">
                  <c:v>182420</c:v>
                </c:pt>
                <c:pt idx="136">
                  <c:v>153350</c:v>
                </c:pt>
                <c:pt idx="137">
                  <c:v>129230</c:v>
                </c:pt>
                <c:pt idx="138">
                  <c:v>129080</c:v>
                </c:pt>
                <c:pt idx="139">
                  <c:v>128930</c:v>
                </c:pt>
                <c:pt idx="140">
                  <c:v>129840</c:v>
                </c:pt>
                <c:pt idx="141">
                  <c:v>126020</c:v>
                </c:pt>
                <c:pt idx="142">
                  <c:v>115600</c:v>
                </c:pt>
                <c:pt idx="143">
                  <c:v>111780</c:v>
                </c:pt>
                <c:pt idx="144">
                  <c:v>6440</c:v>
                </c:pt>
                <c:pt idx="145">
                  <c:v>5460</c:v>
                </c:pt>
                <c:pt idx="146">
                  <c:v>5040</c:v>
                </c:pt>
                <c:pt idx="147">
                  <c:v>5060</c:v>
                </c:pt>
                <c:pt idx="148">
                  <c:v>4450</c:v>
                </c:pt>
                <c:pt idx="149">
                  <c:v>4780</c:v>
                </c:pt>
                <c:pt idx="150">
                  <c:v>4880</c:v>
                </c:pt>
                <c:pt idx="151">
                  <c:v>4200</c:v>
                </c:pt>
                <c:pt idx="152">
                  <c:v>4020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D4-4C1C-B5E2-D5930EB0C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520520"/>
        <c:axId val="507520848"/>
      </c:scatterChart>
      <c:valAx>
        <c:axId val="50752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Total Interest Income of Savers (Dollars x 1,000) 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20848"/>
        <c:crosses val="autoZero"/>
        <c:crossBetween val="midCat"/>
      </c:valAx>
      <c:valAx>
        <c:axId val="5075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Number of Savers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52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Outlier Graph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'cansim-1110036-eng-557151357758'!$B$13:$EX$13</c:f>
              <c:numCache>
                <c:formatCode>General</c:formatCode>
                <c:ptCount val="153"/>
                <c:pt idx="0">
                  <c:v>63965</c:v>
                </c:pt>
                <c:pt idx="1">
                  <c:v>48070</c:v>
                </c:pt>
                <c:pt idx="2">
                  <c:v>33840</c:v>
                </c:pt>
                <c:pt idx="3">
                  <c:v>31485</c:v>
                </c:pt>
                <c:pt idx="4">
                  <c:v>33375</c:v>
                </c:pt>
                <c:pt idx="5">
                  <c:v>33625</c:v>
                </c:pt>
                <c:pt idx="6">
                  <c:v>29265</c:v>
                </c:pt>
                <c:pt idx="7">
                  <c:v>27915</c:v>
                </c:pt>
                <c:pt idx="8">
                  <c:v>23930</c:v>
                </c:pt>
                <c:pt idx="9">
                  <c:v>22790</c:v>
                </c:pt>
                <c:pt idx="10">
                  <c:v>18660</c:v>
                </c:pt>
                <c:pt idx="11">
                  <c:v>15200</c:v>
                </c:pt>
                <c:pt idx="12">
                  <c:v>14555</c:v>
                </c:pt>
                <c:pt idx="13">
                  <c:v>14910</c:v>
                </c:pt>
                <c:pt idx="14">
                  <c:v>14435</c:v>
                </c:pt>
                <c:pt idx="15">
                  <c:v>12960</c:v>
                </c:pt>
                <c:pt idx="16">
                  <c:v>13145</c:v>
                </c:pt>
                <c:pt idx="17">
                  <c:v>12110</c:v>
                </c:pt>
                <c:pt idx="18">
                  <c:v>131110</c:v>
                </c:pt>
                <c:pt idx="19">
                  <c:v>106250</c:v>
                </c:pt>
                <c:pt idx="20">
                  <c:v>81460</c:v>
                </c:pt>
                <c:pt idx="21">
                  <c:v>73925</c:v>
                </c:pt>
                <c:pt idx="22">
                  <c:v>70975</c:v>
                </c:pt>
                <c:pt idx="23">
                  <c:v>77020</c:v>
                </c:pt>
                <c:pt idx="24">
                  <c:v>67775</c:v>
                </c:pt>
                <c:pt idx="25">
                  <c:v>61455</c:v>
                </c:pt>
                <c:pt idx="26">
                  <c:v>53655</c:v>
                </c:pt>
                <c:pt idx="27">
                  <c:v>99575</c:v>
                </c:pt>
                <c:pt idx="28">
                  <c:v>83510</c:v>
                </c:pt>
                <c:pt idx="29">
                  <c:v>64260</c:v>
                </c:pt>
                <c:pt idx="30">
                  <c:v>57250</c:v>
                </c:pt>
                <c:pt idx="31">
                  <c:v>56340</c:v>
                </c:pt>
                <c:pt idx="32">
                  <c:v>57375</c:v>
                </c:pt>
                <c:pt idx="33">
                  <c:v>50365</c:v>
                </c:pt>
                <c:pt idx="34">
                  <c:v>47515</c:v>
                </c:pt>
                <c:pt idx="35">
                  <c:v>41955</c:v>
                </c:pt>
                <c:pt idx="36">
                  <c:v>1894065</c:v>
                </c:pt>
                <c:pt idx="37">
                  <c:v>1668700</c:v>
                </c:pt>
                <c:pt idx="38">
                  <c:v>1345645</c:v>
                </c:pt>
                <c:pt idx="39">
                  <c:v>1261580</c:v>
                </c:pt>
                <c:pt idx="40">
                  <c:v>1194935</c:v>
                </c:pt>
                <c:pt idx="41">
                  <c:v>1129640</c:v>
                </c:pt>
                <c:pt idx="42">
                  <c:v>1085085</c:v>
                </c:pt>
                <c:pt idx="43">
                  <c:v>1006345</c:v>
                </c:pt>
                <c:pt idx="44">
                  <c:v>925375</c:v>
                </c:pt>
                <c:pt idx="45">
                  <c:v>3812205</c:v>
                </c:pt>
                <c:pt idx="46">
                  <c:v>3114925</c:v>
                </c:pt>
                <c:pt idx="47">
                  <c:v>2389440</c:v>
                </c:pt>
                <c:pt idx="48">
                  <c:v>2112855</c:v>
                </c:pt>
                <c:pt idx="49">
                  <c:v>2030985</c:v>
                </c:pt>
                <c:pt idx="50">
                  <c:v>1968185</c:v>
                </c:pt>
                <c:pt idx="51">
                  <c:v>1926280</c:v>
                </c:pt>
                <c:pt idx="52">
                  <c:v>1809260</c:v>
                </c:pt>
                <c:pt idx="53">
                  <c:v>1706710</c:v>
                </c:pt>
                <c:pt idx="54">
                  <c:v>309770</c:v>
                </c:pt>
                <c:pt idx="55">
                  <c:v>254175</c:v>
                </c:pt>
                <c:pt idx="56">
                  <c:v>211360</c:v>
                </c:pt>
                <c:pt idx="57">
                  <c:v>198290</c:v>
                </c:pt>
                <c:pt idx="58">
                  <c:v>195730</c:v>
                </c:pt>
                <c:pt idx="59">
                  <c:v>184020</c:v>
                </c:pt>
                <c:pt idx="60">
                  <c:v>173235</c:v>
                </c:pt>
                <c:pt idx="61">
                  <c:v>161840</c:v>
                </c:pt>
                <c:pt idx="62">
                  <c:v>151860</c:v>
                </c:pt>
                <c:pt idx="63">
                  <c:v>333205</c:v>
                </c:pt>
                <c:pt idx="64">
                  <c:v>274645</c:v>
                </c:pt>
                <c:pt idx="65">
                  <c:v>221845</c:v>
                </c:pt>
                <c:pt idx="66">
                  <c:v>193555</c:v>
                </c:pt>
                <c:pt idx="67">
                  <c:v>177680</c:v>
                </c:pt>
                <c:pt idx="68">
                  <c:v>173045</c:v>
                </c:pt>
                <c:pt idx="69">
                  <c:v>170030</c:v>
                </c:pt>
                <c:pt idx="70">
                  <c:v>150745</c:v>
                </c:pt>
                <c:pt idx="71">
                  <c:v>128340</c:v>
                </c:pt>
                <c:pt idx="72">
                  <c:v>979215</c:v>
                </c:pt>
                <c:pt idx="73">
                  <c:v>777500</c:v>
                </c:pt>
                <c:pt idx="74">
                  <c:v>616250</c:v>
                </c:pt>
                <c:pt idx="75">
                  <c:v>549705</c:v>
                </c:pt>
                <c:pt idx="76">
                  <c:v>517350</c:v>
                </c:pt>
                <c:pt idx="77">
                  <c:v>501855</c:v>
                </c:pt>
                <c:pt idx="78">
                  <c:v>500285</c:v>
                </c:pt>
                <c:pt idx="79">
                  <c:v>451120</c:v>
                </c:pt>
                <c:pt idx="80">
                  <c:v>429815</c:v>
                </c:pt>
                <c:pt idx="81">
                  <c:v>1757565</c:v>
                </c:pt>
                <c:pt idx="82">
                  <c:v>1432155</c:v>
                </c:pt>
                <c:pt idx="83">
                  <c:v>1026005</c:v>
                </c:pt>
                <c:pt idx="84">
                  <c:v>959820</c:v>
                </c:pt>
                <c:pt idx="85">
                  <c:v>963260</c:v>
                </c:pt>
                <c:pt idx="86">
                  <c:v>977845</c:v>
                </c:pt>
                <c:pt idx="87">
                  <c:v>973645</c:v>
                </c:pt>
                <c:pt idx="88">
                  <c:v>931195</c:v>
                </c:pt>
                <c:pt idx="89">
                  <c:v>882440</c:v>
                </c:pt>
                <c:pt idx="90">
                  <c:v>4555</c:v>
                </c:pt>
                <c:pt idx="91">
                  <c:v>3600</c:v>
                </c:pt>
                <c:pt idx="92">
                  <c:v>2910</c:v>
                </c:pt>
                <c:pt idx="93">
                  <c:v>2560</c:v>
                </c:pt>
                <c:pt idx="94">
                  <c:v>2560</c:v>
                </c:pt>
                <c:pt idx="95">
                  <c:v>2845</c:v>
                </c:pt>
                <c:pt idx="96">
                  <c:v>2825</c:v>
                </c:pt>
                <c:pt idx="97">
                  <c:v>2640</c:v>
                </c:pt>
                <c:pt idx="98">
                  <c:v>2380</c:v>
                </c:pt>
                <c:pt idx="99">
                  <c:v>3365</c:v>
                </c:pt>
                <c:pt idx="100">
                  <c:v>2595</c:v>
                </c:pt>
                <c:pt idx="101">
                  <c:v>1725</c:v>
                </c:pt>
                <c:pt idx="102">
                  <c:v>1850</c:v>
                </c:pt>
                <c:pt idx="103">
                  <c:v>1685</c:v>
                </c:pt>
                <c:pt idx="104">
                  <c:v>1575</c:v>
                </c:pt>
                <c:pt idx="105">
                  <c:v>1590</c:v>
                </c:pt>
                <c:pt idx="106">
                  <c:v>1490</c:v>
                </c:pt>
                <c:pt idx="107">
                  <c:v>1230</c:v>
                </c:pt>
                <c:pt idx="108">
                  <c:v>695</c:v>
                </c:pt>
                <c:pt idx="109">
                  <c:v>490</c:v>
                </c:pt>
                <c:pt idx="110">
                  <c:v>360</c:v>
                </c:pt>
                <c:pt idx="111">
                  <c:v>390</c:v>
                </c:pt>
                <c:pt idx="112">
                  <c:v>400</c:v>
                </c:pt>
                <c:pt idx="113">
                  <c:v>440</c:v>
                </c:pt>
                <c:pt idx="114">
                  <c:v>435</c:v>
                </c:pt>
                <c:pt idx="115">
                  <c:v>345</c:v>
                </c:pt>
                <c:pt idx="116">
                  <c:v>300</c:v>
                </c:pt>
                <c:pt idx="117">
                  <c:v>2445</c:v>
                </c:pt>
                <c:pt idx="118">
                  <c:v>1965</c:v>
                </c:pt>
                <c:pt idx="119">
                  <c:v>1530</c:v>
                </c:pt>
                <c:pt idx="120">
                  <c:v>1360</c:v>
                </c:pt>
                <c:pt idx="121">
                  <c:v>1135</c:v>
                </c:pt>
                <c:pt idx="122">
                  <c:v>1140</c:v>
                </c:pt>
                <c:pt idx="123">
                  <c:v>1085</c:v>
                </c:pt>
                <c:pt idx="124">
                  <c:v>920</c:v>
                </c:pt>
                <c:pt idx="125">
                  <c:v>870</c:v>
                </c:pt>
                <c:pt idx="126">
                  <c:v>4230</c:v>
                </c:pt>
                <c:pt idx="127">
                  <c:v>4000</c:v>
                </c:pt>
                <c:pt idx="128">
                  <c:v>3155</c:v>
                </c:pt>
                <c:pt idx="129">
                  <c:v>2870</c:v>
                </c:pt>
                <c:pt idx="130">
                  <c:v>2585</c:v>
                </c:pt>
                <c:pt idx="131">
                  <c:v>2350</c:v>
                </c:pt>
                <c:pt idx="132">
                  <c:v>2320</c:v>
                </c:pt>
                <c:pt idx="133">
                  <c:v>2090</c:v>
                </c:pt>
                <c:pt idx="134">
                  <c:v>1880</c:v>
                </c:pt>
                <c:pt idx="135">
                  <c:v>306970</c:v>
                </c:pt>
                <c:pt idx="136">
                  <c:v>256455</c:v>
                </c:pt>
                <c:pt idx="137">
                  <c:v>201800</c:v>
                </c:pt>
                <c:pt idx="138">
                  <c:v>185150</c:v>
                </c:pt>
                <c:pt idx="139">
                  <c:v>180310</c:v>
                </c:pt>
                <c:pt idx="140">
                  <c:v>179825</c:v>
                </c:pt>
                <c:pt idx="141">
                  <c:v>165835</c:v>
                </c:pt>
                <c:pt idx="142">
                  <c:v>155930</c:v>
                </c:pt>
                <c:pt idx="143">
                  <c:v>142155</c:v>
                </c:pt>
                <c:pt idx="144">
                  <c:v>12420</c:v>
                </c:pt>
                <c:pt idx="145">
                  <c:v>8560</c:v>
                </c:pt>
                <c:pt idx="146">
                  <c:v>7535</c:v>
                </c:pt>
                <c:pt idx="147">
                  <c:v>6830</c:v>
                </c:pt>
                <c:pt idx="148">
                  <c:v>5845</c:v>
                </c:pt>
                <c:pt idx="149">
                  <c:v>6070</c:v>
                </c:pt>
                <c:pt idx="150">
                  <c:v>6100</c:v>
                </c:pt>
                <c:pt idx="151">
                  <c:v>4290</c:v>
                </c:pt>
                <c:pt idx="152">
                  <c:v>3750</c:v>
                </c:pt>
              </c:numCache>
            </c:numRef>
          </c:xVal>
          <c:yVal>
            <c:numRef>
              <c:f>'cansim-1110036-eng-557151357758'!$B$11:$EX$11</c:f>
              <c:numCache>
                <c:formatCode>General</c:formatCode>
                <c:ptCount val="153"/>
                <c:pt idx="0">
                  <c:v>5.3473648757979324E-2</c:v>
                </c:pt>
                <c:pt idx="1">
                  <c:v>1.4821428585273595E-2</c:v>
                </c:pt>
                <c:pt idx="2">
                  <c:v>-1.0226290449145416E-2</c:v>
                </c:pt>
                <c:pt idx="3">
                  <c:v>3.5398386387606166E-2</c:v>
                </c:pt>
                <c:pt idx="4">
                  <c:v>1.989976192235425E-2</c:v>
                </c:pt>
                <c:pt idx="5">
                  <c:v>2.4054704128806177E-2</c:v>
                </c:pt>
                <c:pt idx="6">
                  <c:v>6.6104238886149885E-2</c:v>
                </c:pt>
                <c:pt idx="7">
                  <c:v>3.8364359201925491E-2</c:v>
                </c:pt>
                <c:pt idx="8">
                  <c:v>2.0589006281878774E-2</c:v>
                </c:pt>
                <c:pt idx="9">
                  <c:v>-0.18605950599838281</c:v>
                </c:pt>
                <c:pt idx="10">
                  <c:v>-0.1877362759948466</c:v>
                </c:pt>
                <c:pt idx="11">
                  <c:v>-0.18968431510480044</c:v>
                </c:pt>
                <c:pt idx="12">
                  <c:v>-0.18298106520188995</c:v>
                </c:pt>
                <c:pt idx="13">
                  <c:v>-0.18710438984103836</c:v>
                </c:pt>
                <c:pt idx="14">
                  <c:v>-0.19270383154830015</c:v>
                </c:pt>
                <c:pt idx="15">
                  <c:v>-0.18297984019560407</c:v>
                </c:pt>
                <c:pt idx="16">
                  <c:v>-0.21511713579884717</c:v>
                </c:pt>
                <c:pt idx="17">
                  <c:v>-0.19310599025747849</c:v>
                </c:pt>
                <c:pt idx="18">
                  <c:v>0.17492621469258587</c:v>
                </c:pt>
                <c:pt idx="19">
                  <c:v>0.13569270577760259</c:v>
                </c:pt>
                <c:pt idx="20">
                  <c:v>0.16991966052129609</c:v>
                </c:pt>
                <c:pt idx="21">
                  <c:v>0.21136498806432963</c:v>
                </c:pt>
                <c:pt idx="22">
                  <c:v>0.20832867818022688</c:v>
                </c:pt>
                <c:pt idx="23">
                  <c:v>0.14185938742087567</c:v>
                </c:pt>
                <c:pt idx="24">
                  <c:v>0.19245383722752241</c:v>
                </c:pt>
                <c:pt idx="25">
                  <c:v>0.16181044454315141</c:v>
                </c:pt>
                <c:pt idx="26">
                  <c:v>0.15117242793067057</c:v>
                </c:pt>
                <c:pt idx="27">
                  <c:v>0.16406532446811276</c:v>
                </c:pt>
                <c:pt idx="28">
                  <c:v>8.5614262732680343E-2</c:v>
                </c:pt>
                <c:pt idx="29">
                  <c:v>5.6118747457433546E-2</c:v>
                </c:pt>
                <c:pt idx="30">
                  <c:v>0.10253690273287278</c:v>
                </c:pt>
                <c:pt idx="31">
                  <c:v>8.1967062372125477E-2</c:v>
                </c:pt>
                <c:pt idx="32">
                  <c:v>6.3987583088183503E-2</c:v>
                </c:pt>
                <c:pt idx="33">
                  <c:v>0.10172214950147281</c:v>
                </c:pt>
                <c:pt idx="34">
                  <c:v>7.7739472640996496E-2</c:v>
                </c:pt>
                <c:pt idx="35">
                  <c:v>6.086217337979153E-2</c:v>
                </c:pt>
                <c:pt idx="36">
                  <c:v>0.64338674541648211</c:v>
                </c:pt>
                <c:pt idx="37">
                  <c:v>0.8694235562351158</c:v>
                </c:pt>
                <c:pt idx="38">
                  <c:v>0.49109898802850993</c:v>
                </c:pt>
                <c:pt idx="39">
                  <c:v>1.3544699742818458</c:v>
                </c:pt>
                <c:pt idx="40">
                  <c:v>1.9564828611929106</c:v>
                </c:pt>
                <c:pt idx="41">
                  <c:v>2.7552554824264717</c:v>
                </c:pt>
                <c:pt idx="42">
                  <c:v>2.7755433077325122</c:v>
                </c:pt>
                <c:pt idx="43">
                  <c:v>2.5054165203572403</c:v>
                </c:pt>
                <c:pt idx="44">
                  <c:v>2.5949808236120435</c:v>
                </c:pt>
                <c:pt idx="45">
                  <c:v>-5.2428886020375547</c:v>
                </c:pt>
                <c:pt idx="46">
                  <c:v>-3.2424735575027608</c:v>
                </c:pt>
                <c:pt idx="47">
                  <c:v>-2.2878279421294955E-2</c:v>
                </c:pt>
                <c:pt idx="48">
                  <c:v>1.9321541743290964</c:v>
                </c:pt>
                <c:pt idx="49">
                  <c:v>2.4428319106074179</c:v>
                </c:pt>
                <c:pt idx="50">
                  <c:v>2.6192166891134878</c:v>
                </c:pt>
                <c:pt idx="51">
                  <c:v>2.6231959592159737</c:v>
                </c:pt>
                <c:pt idx="52">
                  <c:v>2.0718123184926402</c:v>
                </c:pt>
                <c:pt idx="53">
                  <c:v>2.3773026803680279</c:v>
                </c:pt>
                <c:pt idx="54">
                  <c:v>-0.11164791024394452</c:v>
                </c:pt>
                <c:pt idx="55">
                  <c:v>-6.5859361680237011E-2</c:v>
                </c:pt>
                <c:pt idx="56">
                  <c:v>3.7879799437008796E-2</c:v>
                </c:pt>
                <c:pt idx="57">
                  <c:v>0.16626005503379501</c:v>
                </c:pt>
                <c:pt idx="58">
                  <c:v>0.17009001392708134</c:v>
                </c:pt>
                <c:pt idx="59">
                  <c:v>0.24672302677654417</c:v>
                </c:pt>
                <c:pt idx="60">
                  <c:v>0.31261653356870017</c:v>
                </c:pt>
                <c:pt idx="61">
                  <c:v>0.32363289104662307</c:v>
                </c:pt>
                <c:pt idx="62">
                  <c:v>0.30331695262164149</c:v>
                </c:pt>
                <c:pt idx="63">
                  <c:v>-0.77661182334199841</c:v>
                </c:pt>
                <c:pt idx="64">
                  <c:v>-0.62284729761674995</c:v>
                </c:pt>
                <c:pt idx="65">
                  <c:v>-0.41377500960815827</c:v>
                </c:pt>
                <c:pt idx="66">
                  <c:v>-0.17007663189638825</c:v>
                </c:pt>
                <c:pt idx="67">
                  <c:v>-6.1916717715056177E-2</c:v>
                </c:pt>
                <c:pt idx="68">
                  <c:v>-2.3875062384220015E-3</c:v>
                </c:pt>
                <c:pt idx="69">
                  <c:v>2.3720990707552014E-2</c:v>
                </c:pt>
                <c:pt idx="70">
                  <c:v>7.6894590457526724E-2</c:v>
                </c:pt>
                <c:pt idx="71">
                  <c:v>0.17158790199298457</c:v>
                </c:pt>
                <c:pt idx="72">
                  <c:v>-1.4763118751256499</c:v>
                </c:pt>
                <c:pt idx="73">
                  <c:v>-0.74141567153642851</c:v>
                </c:pt>
                <c:pt idx="74">
                  <c:v>-0.14035238158666691</c:v>
                </c:pt>
                <c:pt idx="75">
                  <c:v>0.35263773703193219</c:v>
                </c:pt>
                <c:pt idx="76">
                  <c:v>0.60148940606035484</c:v>
                </c:pt>
                <c:pt idx="77">
                  <c:v>0.8907468685001495</c:v>
                </c:pt>
                <c:pt idx="78">
                  <c:v>0.97796846353121403</c:v>
                </c:pt>
                <c:pt idx="79">
                  <c:v>1.027312228439172</c:v>
                </c:pt>
                <c:pt idx="80">
                  <c:v>0.95129517666180041</c:v>
                </c:pt>
                <c:pt idx="81">
                  <c:v>-4.5554577480213219</c:v>
                </c:pt>
                <c:pt idx="82">
                  <c:v>-3.0103315479512816</c:v>
                </c:pt>
                <c:pt idx="83">
                  <c:v>-0.62218287901752523</c:v>
                </c:pt>
                <c:pt idx="84">
                  <c:v>-0.14204682888902825</c:v>
                </c:pt>
                <c:pt idx="85">
                  <c:v>-0.22938214792136918</c:v>
                </c:pt>
                <c:pt idx="86">
                  <c:v>-0.46431349678586903</c:v>
                </c:pt>
                <c:pt idx="87">
                  <c:v>-0.44284580434959364</c:v>
                </c:pt>
                <c:pt idx="88">
                  <c:v>-0.64151251681185451</c:v>
                </c:pt>
                <c:pt idx="89">
                  <c:v>-0.43290804164680102</c:v>
                </c:pt>
                <c:pt idx="90">
                  <c:v>-0.24683645615605587</c:v>
                </c:pt>
                <c:pt idx="91">
                  <c:v>-0.24899446754597826</c:v>
                </c:pt>
                <c:pt idx="92">
                  <c:v>-0.24822445030362714</c:v>
                </c:pt>
                <c:pt idx="93">
                  <c:v>-0.2447685370005783</c:v>
                </c:pt>
                <c:pt idx="94">
                  <c:v>-0.24306283204551316</c:v>
                </c:pt>
                <c:pt idx="95">
                  <c:v>-0.246991179101889</c:v>
                </c:pt>
                <c:pt idx="96">
                  <c:v>-0.24633736688620383</c:v>
                </c:pt>
                <c:pt idx="97">
                  <c:v>-0.24722872177649485</c:v>
                </c:pt>
                <c:pt idx="98">
                  <c:v>-0.24632730322696894</c:v>
                </c:pt>
                <c:pt idx="99">
                  <c:v>-0.23266735117123397</c:v>
                </c:pt>
                <c:pt idx="100">
                  <c:v>-0.23641503306005096</c:v>
                </c:pt>
                <c:pt idx="101">
                  <c:v>-0.23735884613091457</c:v>
                </c:pt>
                <c:pt idx="102">
                  <c:v>-0.23822759267734658</c:v>
                </c:pt>
                <c:pt idx="103">
                  <c:v>-0.24209872108568431</c:v>
                </c:pt>
                <c:pt idx="104">
                  <c:v>-0.24075118315836549</c:v>
                </c:pt>
                <c:pt idx="105">
                  <c:v>-0.23965213543018229</c:v>
                </c:pt>
                <c:pt idx="106">
                  <c:v>-0.24119006104330376</c:v>
                </c:pt>
                <c:pt idx="107">
                  <c:v>-0.24121902701472248</c:v>
                </c:pt>
                <c:pt idx="108">
                  <c:v>-0.25323049276343046</c:v>
                </c:pt>
                <c:pt idx="109">
                  <c:v>-0.253002843177564</c:v>
                </c:pt>
                <c:pt idx="110">
                  <c:v>-0.25317239025009747</c:v>
                </c:pt>
                <c:pt idx="111">
                  <c:v>-0.25392051244338903</c:v>
                </c:pt>
                <c:pt idx="112">
                  <c:v>-0.25308443790005081</c:v>
                </c:pt>
                <c:pt idx="113">
                  <c:v>-0.25346167781047652</c:v>
                </c:pt>
                <c:pt idx="114">
                  <c:v>-0.25310439464802509</c:v>
                </c:pt>
                <c:pt idx="115">
                  <c:v>-0.25318598937051195</c:v>
                </c:pt>
                <c:pt idx="116">
                  <c:v>-0.25307172264493122</c:v>
                </c:pt>
                <c:pt idx="117">
                  <c:v>-0.25159224068613378</c:v>
                </c:pt>
                <c:pt idx="118">
                  <c:v>-0.25187234845257289</c:v>
                </c:pt>
                <c:pt idx="119">
                  <c:v>-0.25273191520506488</c:v>
                </c:pt>
                <c:pt idx="120">
                  <c:v>-0.25128370967257985</c:v>
                </c:pt>
                <c:pt idx="121">
                  <c:v>-0.25086744013150059</c:v>
                </c:pt>
                <c:pt idx="122">
                  <c:v>-0.25137978738077604</c:v>
                </c:pt>
                <c:pt idx="123">
                  <c:v>-0.25163640293806133</c:v>
                </c:pt>
                <c:pt idx="124">
                  <c:v>-0.2502353523943795</c:v>
                </c:pt>
                <c:pt idx="125">
                  <c:v>-0.25255495606918121</c:v>
                </c:pt>
                <c:pt idx="126">
                  <c:v>-0.2688917639493521</c:v>
                </c:pt>
                <c:pt idx="127">
                  <c:v>-0.26935872394041416</c:v>
                </c:pt>
                <c:pt idx="128">
                  <c:v>-0.26588638935057068</c:v>
                </c:pt>
                <c:pt idx="129">
                  <c:v>-0.26397387542290823</c:v>
                </c:pt>
                <c:pt idx="130">
                  <c:v>-0.26299174601619041</c:v>
                </c:pt>
                <c:pt idx="131">
                  <c:v>-0.26046533336879135</c:v>
                </c:pt>
                <c:pt idx="132">
                  <c:v>-0.2608026597832685</c:v>
                </c:pt>
                <c:pt idx="133">
                  <c:v>-0.26111455568750647</c:v>
                </c:pt>
                <c:pt idx="134">
                  <c:v>-0.25913404615777169</c:v>
                </c:pt>
                <c:pt idx="135">
                  <c:v>-0.32574551517833156</c:v>
                </c:pt>
                <c:pt idx="136">
                  <c:v>-0.30010996369717108</c:v>
                </c:pt>
                <c:pt idx="137">
                  <c:v>-0.15867335850902176</c:v>
                </c:pt>
                <c:pt idx="138">
                  <c:v>-3.9732070966939474E-3</c:v>
                </c:pt>
                <c:pt idx="139">
                  <c:v>3.9346860762451877E-2</c:v>
                </c:pt>
                <c:pt idx="140">
                  <c:v>5.8031726577356668E-2</c:v>
                </c:pt>
                <c:pt idx="141">
                  <c:v>0.13073690408193037</c:v>
                </c:pt>
                <c:pt idx="142">
                  <c:v>6.2574158430373256E-2</c:v>
                </c:pt>
                <c:pt idx="143">
                  <c:v>0.13325167141640906</c:v>
                </c:pt>
                <c:pt idx="144">
                  <c:v>-0.27666292471181142</c:v>
                </c:pt>
                <c:pt idx="145">
                  <c:v>-0.25545555386449553</c:v>
                </c:pt>
                <c:pt idx="146">
                  <c:v>-0.25230147280644988</c:v>
                </c:pt>
                <c:pt idx="147">
                  <c:v>-0.24534249121154908</c:v>
                </c:pt>
                <c:pt idx="148">
                  <c:v>-0.24551186771358705</c:v>
                </c:pt>
                <c:pt idx="149">
                  <c:v>-0.24251672734453608</c:v>
                </c:pt>
                <c:pt idx="150">
                  <c:v>-0.24124901640911428</c:v>
                </c:pt>
                <c:pt idx="151">
                  <c:v>-0.23472326836639132</c:v>
                </c:pt>
                <c:pt idx="152">
                  <c:v>-0.23242168313847852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35-404E-845B-9E768E945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791320"/>
        <c:axId val="520791648"/>
      </c:scatterChart>
      <c:valAx>
        <c:axId val="52079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91648"/>
        <c:crosses val="autoZero"/>
        <c:crossBetween val="midCat"/>
      </c:valAx>
      <c:valAx>
        <c:axId val="5207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9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511419</xdr:colOff>
      <xdr:row>20</xdr:row>
      <xdr:rowOff>48357</xdr:rowOff>
    </xdr:from>
    <xdr:to>
      <xdr:col>13</xdr:col>
      <xdr:colOff>505556</xdr:colOff>
      <xdr:row>37</xdr:row>
      <xdr:rowOff>153866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F7856CD-102D-43EA-8ED2-8DD180EB4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355355</xdr:colOff>
      <xdr:row>14</xdr:row>
      <xdr:rowOff>90120</xdr:rowOff>
    </xdr:from>
    <xdr:to>
      <xdr:col>22</xdr:col>
      <xdr:colOff>62278</xdr:colOff>
      <xdr:row>28</xdr:row>
      <xdr:rowOff>166320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6118CAA-2E37-471C-A494-3E93220EE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X21"/>
  <sheetViews>
    <sheetView tabSelected="1" topLeftCell="EK1" zoomScale="130" zoomScaleNormal="130" workbookViewId="0">
      <selection activeCell="B1" sqref="B1:EX1"/>
    </sheetView>
  </sheetViews>
  <sheetFormatPr defaultRowHeight="15" x14ac:dyDescent="0.25"/>
  <cols>
    <col min="1" max="1" width="43.5703125" bestFit="1" customWidth="1"/>
    <col min="2" max="2" width="10.85546875" bestFit="1" customWidth="1"/>
  </cols>
  <sheetData>
    <row r="1" spans="1:15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  <c r="EK1">
        <v>140</v>
      </c>
      <c r="EL1">
        <v>141</v>
      </c>
      <c r="EM1">
        <v>142</v>
      </c>
      <c r="EN1">
        <v>143</v>
      </c>
      <c r="EO1">
        <v>144</v>
      </c>
      <c r="EP1">
        <v>145</v>
      </c>
      <c r="EQ1">
        <v>146</v>
      </c>
      <c r="ER1">
        <v>147</v>
      </c>
      <c r="ES1">
        <v>148</v>
      </c>
      <c r="ET1">
        <v>149</v>
      </c>
      <c r="EU1">
        <v>150</v>
      </c>
      <c r="EV1">
        <v>151</v>
      </c>
      <c r="EW1">
        <v>152</v>
      </c>
      <c r="EX1">
        <v>153</v>
      </c>
    </row>
    <row r="4" spans="1:154" x14ac:dyDescent="0.25">
      <c r="A4" t="s">
        <v>4</v>
      </c>
      <c r="B4">
        <f t="shared" ref="B4:AG4" si="0">16728+0.6082*B13</f>
        <v>55631.512999999999</v>
      </c>
      <c r="C4">
        <f t="shared" si="0"/>
        <v>45964.173999999999</v>
      </c>
      <c r="D4">
        <f t="shared" si="0"/>
        <v>37309.487999999998</v>
      </c>
      <c r="E4">
        <f t="shared" si="0"/>
        <v>35877.176999999996</v>
      </c>
      <c r="F4">
        <f t="shared" si="0"/>
        <v>37026.675000000003</v>
      </c>
      <c r="G4">
        <f t="shared" si="0"/>
        <v>37178.724999999999</v>
      </c>
      <c r="H4">
        <f t="shared" si="0"/>
        <v>34526.972999999998</v>
      </c>
      <c r="I4">
        <f t="shared" si="0"/>
        <v>33705.902999999998</v>
      </c>
      <c r="J4">
        <f t="shared" si="0"/>
        <v>31282.225999999999</v>
      </c>
      <c r="K4">
        <f t="shared" si="0"/>
        <v>30588.877999999997</v>
      </c>
      <c r="L4">
        <f t="shared" si="0"/>
        <v>28077.011999999999</v>
      </c>
      <c r="M4">
        <f t="shared" si="0"/>
        <v>25972.639999999999</v>
      </c>
      <c r="N4">
        <f t="shared" si="0"/>
        <v>25580.350999999999</v>
      </c>
      <c r="O4">
        <f t="shared" si="0"/>
        <v>25796.261999999999</v>
      </c>
      <c r="P4">
        <f t="shared" si="0"/>
        <v>25507.366999999998</v>
      </c>
      <c r="Q4">
        <f t="shared" si="0"/>
        <v>24610.272000000001</v>
      </c>
      <c r="R4">
        <f t="shared" si="0"/>
        <v>24722.789000000001</v>
      </c>
      <c r="S4">
        <f t="shared" si="0"/>
        <v>24093.302</v>
      </c>
      <c r="T4">
        <f t="shared" si="0"/>
        <v>96469.101999999999</v>
      </c>
      <c r="U4">
        <f t="shared" si="0"/>
        <v>81349.25</v>
      </c>
      <c r="V4">
        <f t="shared" si="0"/>
        <v>66271.971999999994</v>
      </c>
      <c r="W4">
        <f t="shared" si="0"/>
        <v>61689.184999999998</v>
      </c>
      <c r="X4">
        <f t="shared" si="0"/>
        <v>59894.994999999995</v>
      </c>
      <c r="Y4">
        <f t="shared" si="0"/>
        <v>63571.563999999998</v>
      </c>
      <c r="Z4">
        <f t="shared" si="0"/>
        <v>57948.754999999997</v>
      </c>
      <c r="AA4">
        <f t="shared" si="0"/>
        <v>54104.930999999997</v>
      </c>
      <c r="AB4">
        <f t="shared" si="0"/>
        <v>49360.970999999998</v>
      </c>
      <c r="AC4">
        <f t="shared" si="0"/>
        <v>77289.514999999999</v>
      </c>
      <c r="AD4">
        <f t="shared" si="0"/>
        <v>67518.782000000007</v>
      </c>
      <c r="AE4">
        <f t="shared" si="0"/>
        <v>55810.932000000001</v>
      </c>
      <c r="AF4">
        <f t="shared" si="0"/>
        <v>51547.45</v>
      </c>
      <c r="AG4">
        <f t="shared" si="0"/>
        <v>50993.987999999998</v>
      </c>
      <c r="AH4">
        <f t="shared" ref="AH4:BM4" si="1">16728+0.6082*AH13</f>
        <v>51623.474999999999</v>
      </c>
      <c r="AI4">
        <f t="shared" si="1"/>
        <v>47359.993000000002</v>
      </c>
      <c r="AJ4">
        <f t="shared" si="1"/>
        <v>45626.623</v>
      </c>
      <c r="AK4">
        <f t="shared" si="1"/>
        <v>42245.031000000003</v>
      </c>
      <c r="AL4">
        <f t="shared" si="1"/>
        <v>1168698.3329999999</v>
      </c>
      <c r="AM4">
        <f t="shared" si="1"/>
        <v>1031631.34</v>
      </c>
      <c r="AN4">
        <f t="shared" si="1"/>
        <v>835149.28899999999</v>
      </c>
      <c r="AO4">
        <f t="shared" si="1"/>
        <v>784020.95600000001</v>
      </c>
      <c r="AP4">
        <f t="shared" si="1"/>
        <v>743487.46699999995</v>
      </c>
      <c r="AQ4">
        <f t="shared" si="1"/>
        <v>703775.04799999995</v>
      </c>
      <c r="AR4">
        <f t="shared" si="1"/>
        <v>676676.69699999993</v>
      </c>
      <c r="AS4">
        <f t="shared" si="1"/>
        <v>628787.02899999998</v>
      </c>
      <c r="AT4">
        <f t="shared" si="1"/>
        <v>579541.07499999995</v>
      </c>
      <c r="AU4">
        <f t="shared" si="1"/>
        <v>2335311.0809999998</v>
      </c>
      <c r="AV4">
        <f t="shared" si="1"/>
        <v>1911225.3849999998</v>
      </c>
      <c r="AW4">
        <f t="shared" si="1"/>
        <v>1469985.4079999998</v>
      </c>
      <c r="AX4">
        <f t="shared" si="1"/>
        <v>1301766.4109999998</v>
      </c>
      <c r="AY4">
        <f t="shared" si="1"/>
        <v>1251973.0769999998</v>
      </c>
      <c r="AZ4">
        <f t="shared" si="1"/>
        <v>1213778.1169999999</v>
      </c>
      <c r="BA4">
        <f t="shared" si="1"/>
        <v>1188291.496</v>
      </c>
      <c r="BB4">
        <f t="shared" si="1"/>
        <v>1117119.932</v>
      </c>
      <c r="BC4">
        <f t="shared" si="1"/>
        <v>1054749.0219999999</v>
      </c>
      <c r="BD4">
        <f t="shared" si="1"/>
        <v>205130.114</v>
      </c>
      <c r="BE4">
        <f t="shared" si="1"/>
        <v>171317.23499999999</v>
      </c>
      <c r="BF4">
        <f t="shared" si="1"/>
        <v>145277.152</v>
      </c>
      <c r="BG4">
        <f t="shared" si="1"/>
        <v>137327.978</v>
      </c>
      <c r="BH4">
        <f t="shared" si="1"/>
        <v>135770.98599999998</v>
      </c>
      <c r="BI4">
        <f t="shared" si="1"/>
        <v>128648.96399999999</v>
      </c>
      <c r="BJ4">
        <f t="shared" si="1"/>
        <v>122089.52699999999</v>
      </c>
      <c r="BK4">
        <f t="shared" si="1"/>
        <v>115159.08799999999</v>
      </c>
      <c r="BL4">
        <f t="shared" si="1"/>
        <v>109089.25199999999</v>
      </c>
      <c r="BM4">
        <f t="shared" si="1"/>
        <v>219383.28099999999</v>
      </c>
      <c r="BN4">
        <f t="shared" ref="BN4:CS4" si="2">16728+0.6082*BN13</f>
        <v>183767.08899999998</v>
      </c>
      <c r="BO4">
        <f t="shared" si="2"/>
        <v>151654.12899999999</v>
      </c>
      <c r="BP4">
        <f t="shared" si="2"/>
        <v>134448.15100000001</v>
      </c>
      <c r="BQ4">
        <f t="shared" si="2"/>
        <v>124792.976</v>
      </c>
      <c r="BR4">
        <f t="shared" si="2"/>
        <v>121973.969</v>
      </c>
      <c r="BS4">
        <f t="shared" si="2"/>
        <v>120140.246</v>
      </c>
      <c r="BT4">
        <f t="shared" si="2"/>
        <v>108411.109</v>
      </c>
      <c r="BU4">
        <f t="shared" si="2"/>
        <v>94784.387999999992</v>
      </c>
      <c r="BV4">
        <f t="shared" si="2"/>
        <v>612286.56299999997</v>
      </c>
      <c r="BW4">
        <f t="shared" si="2"/>
        <v>489603.5</v>
      </c>
      <c r="BX4">
        <f t="shared" si="2"/>
        <v>391531.25</v>
      </c>
      <c r="BY4">
        <f t="shared" si="2"/>
        <v>351058.58100000001</v>
      </c>
      <c r="BZ4">
        <f t="shared" si="2"/>
        <v>331380.26999999996</v>
      </c>
      <c r="CA4">
        <f t="shared" si="2"/>
        <v>321956.21100000001</v>
      </c>
      <c r="CB4">
        <f t="shared" si="2"/>
        <v>321001.337</v>
      </c>
      <c r="CC4">
        <f t="shared" si="2"/>
        <v>291099.18400000001</v>
      </c>
      <c r="CD4">
        <f t="shared" si="2"/>
        <v>278141.48300000001</v>
      </c>
      <c r="CE4">
        <f t="shared" si="2"/>
        <v>1085679.0329999998</v>
      </c>
      <c r="CF4">
        <f t="shared" si="2"/>
        <v>887764.67099999997</v>
      </c>
      <c r="CG4">
        <f t="shared" si="2"/>
        <v>640744.24099999992</v>
      </c>
      <c r="CH4">
        <f t="shared" si="2"/>
        <v>600490.52399999998</v>
      </c>
      <c r="CI4">
        <f t="shared" si="2"/>
        <v>602582.73199999996</v>
      </c>
      <c r="CJ4">
        <f t="shared" si="2"/>
        <v>611453.32899999991</v>
      </c>
      <c r="CK4">
        <f t="shared" si="2"/>
        <v>608898.88899999997</v>
      </c>
      <c r="CL4">
        <f t="shared" si="2"/>
        <v>583080.799</v>
      </c>
      <c r="CM4">
        <f t="shared" si="2"/>
        <v>553428.00799999991</v>
      </c>
      <c r="CN4">
        <f t="shared" si="2"/>
        <v>19498.350999999999</v>
      </c>
      <c r="CO4">
        <f t="shared" si="2"/>
        <v>18917.52</v>
      </c>
      <c r="CP4">
        <f t="shared" si="2"/>
        <v>18497.862000000001</v>
      </c>
      <c r="CQ4">
        <f t="shared" si="2"/>
        <v>18284.991999999998</v>
      </c>
      <c r="CR4">
        <f t="shared" si="2"/>
        <v>18284.991999999998</v>
      </c>
      <c r="CS4">
        <f t="shared" si="2"/>
        <v>18458.329000000002</v>
      </c>
      <c r="CT4">
        <f t="shared" ref="CT4:DY4" si="3">16728+0.6082*CT13</f>
        <v>18446.165000000001</v>
      </c>
      <c r="CU4">
        <f t="shared" si="3"/>
        <v>18333.648000000001</v>
      </c>
      <c r="CV4">
        <f t="shared" si="3"/>
        <v>18175.516</v>
      </c>
      <c r="CW4">
        <f t="shared" si="3"/>
        <v>18774.593000000001</v>
      </c>
      <c r="CX4">
        <f t="shared" si="3"/>
        <v>18306.278999999999</v>
      </c>
      <c r="CY4">
        <f t="shared" si="3"/>
        <v>17777.145</v>
      </c>
      <c r="CZ4">
        <f t="shared" si="3"/>
        <v>17853.169999999998</v>
      </c>
      <c r="DA4">
        <f t="shared" si="3"/>
        <v>17752.816999999999</v>
      </c>
      <c r="DB4">
        <f t="shared" si="3"/>
        <v>17685.915000000001</v>
      </c>
      <c r="DC4">
        <f t="shared" si="3"/>
        <v>17695.038</v>
      </c>
      <c r="DD4">
        <f t="shared" si="3"/>
        <v>17634.218000000001</v>
      </c>
      <c r="DE4">
        <f t="shared" si="3"/>
        <v>17476.085999999999</v>
      </c>
      <c r="DF4">
        <f t="shared" si="3"/>
        <v>17150.699000000001</v>
      </c>
      <c r="DG4">
        <f t="shared" si="3"/>
        <v>17026.018</v>
      </c>
      <c r="DH4">
        <f t="shared" si="3"/>
        <v>16946.952000000001</v>
      </c>
      <c r="DI4">
        <f t="shared" si="3"/>
        <v>16965.198</v>
      </c>
      <c r="DJ4">
        <f t="shared" si="3"/>
        <v>16971.28</v>
      </c>
      <c r="DK4">
        <f t="shared" si="3"/>
        <v>16995.608</v>
      </c>
      <c r="DL4">
        <f t="shared" si="3"/>
        <v>16992.566999999999</v>
      </c>
      <c r="DM4">
        <f t="shared" si="3"/>
        <v>16937.829000000002</v>
      </c>
      <c r="DN4">
        <f t="shared" si="3"/>
        <v>16910.46</v>
      </c>
      <c r="DO4">
        <f t="shared" si="3"/>
        <v>18215.048999999999</v>
      </c>
      <c r="DP4">
        <f t="shared" si="3"/>
        <v>17923.113000000001</v>
      </c>
      <c r="DQ4">
        <f t="shared" si="3"/>
        <v>17658.545999999998</v>
      </c>
      <c r="DR4">
        <f t="shared" si="3"/>
        <v>17555.151999999998</v>
      </c>
      <c r="DS4">
        <f t="shared" si="3"/>
        <v>17418.307000000001</v>
      </c>
      <c r="DT4">
        <f t="shared" si="3"/>
        <v>17421.347999999998</v>
      </c>
      <c r="DU4">
        <f t="shared" si="3"/>
        <v>17387.897000000001</v>
      </c>
      <c r="DV4">
        <f t="shared" si="3"/>
        <v>17287.544000000002</v>
      </c>
      <c r="DW4">
        <f t="shared" si="3"/>
        <v>17257.133999999998</v>
      </c>
      <c r="DX4">
        <f t="shared" si="3"/>
        <v>19300.686000000002</v>
      </c>
      <c r="DY4">
        <f t="shared" si="3"/>
        <v>19160.8</v>
      </c>
      <c r="DZ4">
        <f t="shared" ref="DZ4:EX4" si="4">16728+0.6082*DZ13</f>
        <v>18646.870999999999</v>
      </c>
      <c r="EA4">
        <f t="shared" si="4"/>
        <v>18473.534</v>
      </c>
      <c r="EB4">
        <f t="shared" si="4"/>
        <v>18300.197</v>
      </c>
      <c r="EC4">
        <f t="shared" si="4"/>
        <v>18157.27</v>
      </c>
      <c r="ED4">
        <f t="shared" si="4"/>
        <v>18139.024000000001</v>
      </c>
      <c r="EE4">
        <f t="shared" si="4"/>
        <v>17999.137999999999</v>
      </c>
      <c r="EF4">
        <f t="shared" si="4"/>
        <v>17871.416000000001</v>
      </c>
      <c r="EG4">
        <f t="shared" si="4"/>
        <v>203427.15399999998</v>
      </c>
      <c r="EH4">
        <f t="shared" si="4"/>
        <v>172703.93099999998</v>
      </c>
      <c r="EI4">
        <f t="shared" si="4"/>
        <v>139462.76</v>
      </c>
      <c r="EJ4">
        <f t="shared" si="4"/>
        <v>129336.23</v>
      </c>
      <c r="EK4">
        <f t="shared" si="4"/>
        <v>126392.54199999999</v>
      </c>
      <c r="EL4">
        <f t="shared" si="4"/>
        <v>126097.56499999999</v>
      </c>
      <c r="EM4">
        <f t="shared" si="4"/>
        <v>117588.84699999999</v>
      </c>
      <c r="EN4">
        <f t="shared" si="4"/>
        <v>111564.62599999999</v>
      </c>
      <c r="EO4">
        <f t="shared" si="4"/>
        <v>103186.67099999999</v>
      </c>
      <c r="EP4">
        <f t="shared" si="4"/>
        <v>24281.843999999997</v>
      </c>
      <c r="EQ4">
        <f t="shared" si="4"/>
        <v>21934.191999999999</v>
      </c>
      <c r="ER4">
        <f t="shared" si="4"/>
        <v>21310.787</v>
      </c>
      <c r="ES4">
        <f t="shared" si="4"/>
        <v>20882.006000000001</v>
      </c>
      <c r="ET4">
        <f t="shared" si="4"/>
        <v>20282.929</v>
      </c>
      <c r="EU4">
        <f t="shared" si="4"/>
        <v>20419.774000000001</v>
      </c>
      <c r="EV4">
        <f t="shared" si="4"/>
        <v>20438.02</v>
      </c>
      <c r="EW4">
        <f t="shared" si="4"/>
        <v>19337.178</v>
      </c>
      <c r="EX4">
        <f t="shared" si="4"/>
        <v>19008.75</v>
      </c>
    </row>
    <row r="6" spans="1:154" x14ac:dyDescent="0.25">
      <c r="A6" t="s">
        <v>2</v>
      </c>
      <c r="B6">
        <f t="shared" ref="B6:AG6" si="5">B14-B4</f>
        <v>3448.487000000001</v>
      </c>
      <c r="C6">
        <f t="shared" si="5"/>
        <v>955.82600000000093</v>
      </c>
      <c r="D6">
        <f t="shared" si="5"/>
        <v>-659.48799999999756</v>
      </c>
      <c r="E6">
        <f t="shared" si="5"/>
        <v>2282.823000000004</v>
      </c>
      <c r="F6">
        <f t="shared" si="5"/>
        <v>1283.3249999999971</v>
      </c>
      <c r="G6">
        <f t="shared" si="5"/>
        <v>1551.2750000000015</v>
      </c>
      <c r="H6">
        <f t="shared" si="5"/>
        <v>4263.0270000000019</v>
      </c>
      <c r="I6">
        <f t="shared" si="5"/>
        <v>2474.0970000000016</v>
      </c>
      <c r="J6">
        <f t="shared" si="5"/>
        <v>1327.7740000000013</v>
      </c>
      <c r="K6">
        <f t="shared" si="5"/>
        <v>-11998.877999999997</v>
      </c>
      <c r="L6">
        <f t="shared" si="5"/>
        <v>-12107.011999999999</v>
      </c>
      <c r="M6">
        <f t="shared" si="5"/>
        <v>-12232.64</v>
      </c>
      <c r="N6">
        <f t="shared" si="5"/>
        <v>-11800.350999999999</v>
      </c>
      <c r="O6">
        <f t="shared" si="5"/>
        <v>-12066.261999999999</v>
      </c>
      <c r="P6">
        <f t="shared" si="5"/>
        <v>-12427.366999999998</v>
      </c>
      <c r="Q6">
        <f t="shared" si="5"/>
        <v>-11800.272000000001</v>
      </c>
      <c r="R6">
        <f t="shared" si="5"/>
        <v>-13872.789000000001</v>
      </c>
      <c r="S6">
        <f t="shared" si="5"/>
        <v>-12453.302</v>
      </c>
      <c r="T6">
        <f t="shared" si="5"/>
        <v>11280.898000000001</v>
      </c>
      <c r="U6">
        <f t="shared" si="5"/>
        <v>8750.75</v>
      </c>
      <c r="V6">
        <f t="shared" si="5"/>
        <v>10958.028000000006</v>
      </c>
      <c r="W6">
        <f t="shared" si="5"/>
        <v>13630.815000000002</v>
      </c>
      <c r="X6">
        <f t="shared" si="5"/>
        <v>13435.005000000005</v>
      </c>
      <c r="Y6">
        <f t="shared" si="5"/>
        <v>9148.4360000000015</v>
      </c>
      <c r="Z6">
        <f t="shared" si="5"/>
        <v>12411.245000000003</v>
      </c>
      <c r="AA6">
        <f t="shared" si="5"/>
        <v>10435.069000000003</v>
      </c>
      <c r="AB6">
        <f t="shared" si="5"/>
        <v>9749.0290000000023</v>
      </c>
      <c r="AC6">
        <f t="shared" si="5"/>
        <v>10580.485000000001</v>
      </c>
      <c r="AD6">
        <f t="shared" si="5"/>
        <v>5521.2179999999935</v>
      </c>
      <c r="AE6">
        <f t="shared" si="5"/>
        <v>3619.0679999999993</v>
      </c>
      <c r="AF6">
        <f t="shared" si="5"/>
        <v>6612.5500000000029</v>
      </c>
      <c r="AG6">
        <f t="shared" si="5"/>
        <v>5286.0120000000024</v>
      </c>
      <c r="AH6">
        <f t="shared" ref="AH6:BM6" si="6">AH14-AH4</f>
        <v>4126.5250000000015</v>
      </c>
      <c r="AI6">
        <f t="shared" si="6"/>
        <v>6560.0069999999978</v>
      </c>
      <c r="AJ6">
        <f t="shared" si="6"/>
        <v>5013.3770000000004</v>
      </c>
      <c r="AK6">
        <f t="shared" si="6"/>
        <v>3924.9689999999973</v>
      </c>
      <c r="AL6">
        <f t="shared" si="6"/>
        <v>41491.667000000132</v>
      </c>
      <c r="AM6">
        <f t="shared" si="6"/>
        <v>56068.660000000033</v>
      </c>
      <c r="AN6">
        <f t="shared" si="6"/>
        <v>31670.71100000001</v>
      </c>
      <c r="AO6">
        <f t="shared" si="6"/>
        <v>87349.043999999994</v>
      </c>
      <c r="AP6">
        <f t="shared" si="6"/>
        <v>126172.53300000005</v>
      </c>
      <c r="AQ6">
        <f t="shared" si="6"/>
        <v>177684.95200000005</v>
      </c>
      <c r="AR6">
        <f t="shared" si="6"/>
        <v>178993.30300000007</v>
      </c>
      <c r="AS6">
        <f t="shared" si="6"/>
        <v>161572.97100000002</v>
      </c>
      <c r="AT6">
        <f t="shared" si="6"/>
        <v>167348.92500000005</v>
      </c>
      <c r="AU6">
        <f t="shared" si="6"/>
        <v>-338111.08099999977</v>
      </c>
      <c r="AV6">
        <f t="shared" si="6"/>
        <v>-209105.38499999978</v>
      </c>
      <c r="AW6">
        <f t="shared" si="6"/>
        <v>-1475.4079999998212</v>
      </c>
      <c r="AX6">
        <f t="shared" si="6"/>
        <v>124603.58900000015</v>
      </c>
      <c r="AY6">
        <f t="shared" si="6"/>
        <v>157536.92300000018</v>
      </c>
      <c r="AZ6">
        <f t="shared" si="6"/>
        <v>168911.88300000015</v>
      </c>
      <c r="BA6">
        <f t="shared" si="6"/>
        <v>169168.50399999996</v>
      </c>
      <c r="BB6">
        <f t="shared" si="6"/>
        <v>133610.06799999997</v>
      </c>
      <c r="BC6">
        <f t="shared" si="6"/>
        <v>153310.97800000012</v>
      </c>
      <c r="BD6">
        <f t="shared" si="6"/>
        <v>-7200.1140000000014</v>
      </c>
      <c r="BE6">
        <f t="shared" si="6"/>
        <v>-4247.234999999986</v>
      </c>
      <c r="BF6">
        <f t="shared" si="6"/>
        <v>2442.8479999999981</v>
      </c>
      <c r="BG6">
        <f t="shared" si="6"/>
        <v>10722.021999999997</v>
      </c>
      <c r="BH6">
        <f t="shared" si="6"/>
        <v>10969.014000000025</v>
      </c>
      <c r="BI6">
        <f t="shared" si="6"/>
        <v>15911.036000000007</v>
      </c>
      <c r="BJ6">
        <f t="shared" si="6"/>
        <v>20160.473000000013</v>
      </c>
      <c r="BK6">
        <f t="shared" si="6"/>
        <v>20870.912000000011</v>
      </c>
      <c r="BL6">
        <f t="shared" si="6"/>
        <v>19560.748000000007</v>
      </c>
      <c r="BM6">
        <f t="shared" si="6"/>
        <v>-50083.280999999988</v>
      </c>
      <c r="BN6">
        <f t="shared" ref="BN6:CS6" si="7">BN14-BN4</f>
        <v>-40167.088999999978</v>
      </c>
      <c r="BO6">
        <f t="shared" si="7"/>
        <v>-26684.128999999986</v>
      </c>
      <c r="BP6">
        <f t="shared" si="7"/>
        <v>-10968.151000000013</v>
      </c>
      <c r="BQ6">
        <f t="shared" si="7"/>
        <v>-3992.9759999999951</v>
      </c>
      <c r="BR6">
        <f t="shared" si="7"/>
        <v>-153.96899999999732</v>
      </c>
      <c r="BS6">
        <f t="shared" si="7"/>
        <v>1529.7540000000008</v>
      </c>
      <c r="BT6">
        <f t="shared" si="7"/>
        <v>4958.8910000000033</v>
      </c>
      <c r="BU6">
        <f t="shared" si="7"/>
        <v>11065.612000000008</v>
      </c>
      <c r="BV6">
        <f t="shared" si="7"/>
        <v>-95206.562999999966</v>
      </c>
      <c r="BW6">
        <f t="shared" si="7"/>
        <v>-47813.5</v>
      </c>
      <c r="BX6">
        <f t="shared" si="7"/>
        <v>-9051.25</v>
      </c>
      <c r="BY6">
        <f t="shared" si="7"/>
        <v>22741.418999999994</v>
      </c>
      <c r="BZ6">
        <f t="shared" si="7"/>
        <v>38789.73000000004</v>
      </c>
      <c r="CA6">
        <f t="shared" si="7"/>
        <v>57443.78899999999</v>
      </c>
      <c r="CB6">
        <f t="shared" si="7"/>
        <v>63068.663</v>
      </c>
      <c r="CC6">
        <f t="shared" si="7"/>
        <v>66250.815999999992</v>
      </c>
      <c r="CD6">
        <f t="shared" si="7"/>
        <v>61348.516999999993</v>
      </c>
      <c r="CE6">
        <f t="shared" si="7"/>
        <v>-293779.03299999982</v>
      </c>
      <c r="CF6">
        <f t="shared" si="7"/>
        <v>-194134.67099999997</v>
      </c>
      <c r="CG6">
        <f t="shared" si="7"/>
        <v>-40124.240999999922</v>
      </c>
      <c r="CH6">
        <f t="shared" si="7"/>
        <v>-9160.5239999999758</v>
      </c>
      <c r="CI6">
        <f t="shared" si="7"/>
        <v>-14792.73199999996</v>
      </c>
      <c r="CJ6">
        <f t="shared" si="7"/>
        <v>-29943.328999999911</v>
      </c>
      <c r="CK6">
        <f t="shared" si="7"/>
        <v>-28558.888999999966</v>
      </c>
      <c r="CL6">
        <f t="shared" si="7"/>
        <v>-41370.798999999999</v>
      </c>
      <c r="CM6">
        <f t="shared" si="7"/>
        <v>-27918.007999999914</v>
      </c>
      <c r="CN6">
        <f t="shared" si="7"/>
        <v>-15918.350999999999</v>
      </c>
      <c r="CO6">
        <f t="shared" si="7"/>
        <v>-16057.52</v>
      </c>
      <c r="CP6">
        <f t="shared" si="7"/>
        <v>-16007.862000000001</v>
      </c>
      <c r="CQ6">
        <f t="shared" si="7"/>
        <v>-15784.991999999998</v>
      </c>
      <c r="CR6">
        <f t="shared" si="7"/>
        <v>-15674.991999999998</v>
      </c>
      <c r="CS6">
        <f t="shared" si="7"/>
        <v>-15928.329000000002</v>
      </c>
      <c r="CT6">
        <f t="shared" ref="CT6:DY6" si="8">CT14-CT4</f>
        <v>-15886.165000000001</v>
      </c>
      <c r="CU6">
        <f t="shared" si="8"/>
        <v>-15943.648000000001</v>
      </c>
      <c r="CV6">
        <f t="shared" si="8"/>
        <v>-15885.516</v>
      </c>
      <c r="CW6">
        <f t="shared" si="8"/>
        <v>-15004.593000000001</v>
      </c>
      <c r="CX6">
        <f t="shared" si="8"/>
        <v>-15246.278999999999</v>
      </c>
      <c r="CY6">
        <f t="shared" si="8"/>
        <v>-15307.145</v>
      </c>
      <c r="CZ6">
        <f t="shared" si="8"/>
        <v>-15363.169999999998</v>
      </c>
      <c r="DA6">
        <f t="shared" si="8"/>
        <v>-15612.816999999999</v>
      </c>
      <c r="DB6">
        <f t="shared" si="8"/>
        <v>-15525.915000000001</v>
      </c>
      <c r="DC6">
        <f t="shared" si="8"/>
        <v>-15455.038</v>
      </c>
      <c r="DD6">
        <f t="shared" si="8"/>
        <v>-15554.218000000001</v>
      </c>
      <c r="DE6">
        <f t="shared" si="8"/>
        <v>-15556.085999999999</v>
      </c>
      <c r="DF6">
        <f t="shared" si="8"/>
        <v>-16330.699000000001</v>
      </c>
      <c r="DG6">
        <f t="shared" si="8"/>
        <v>-16316.018</v>
      </c>
      <c r="DH6">
        <f t="shared" si="8"/>
        <v>-16326.952000000001</v>
      </c>
      <c r="DI6">
        <f t="shared" si="8"/>
        <v>-16375.198</v>
      </c>
      <c r="DJ6">
        <f t="shared" si="8"/>
        <v>-16321.279999999999</v>
      </c>
      <c r="DK6">
        <f t="shared" si="8"/>
        <v>-16345.608</v>
      </c>
      <c r="DL6">
        <f t="shared" si="8"/>
        <v>-16322.566999999999</v>
      </c>
      <c r="DM6">
        <f t="shared" si="8"/>
        <v>-16327.829000000002</v>
      </c>
      <c r="DN6">
        <f t="shared" si="8"/>
        <v>-16320.46</v>
      </c>
      <c r="DO6">
        <f t="shared" si="8"/>
        <v>-16225.048999999999</v>
      </c>
      <c r="DP6">
        <f t="shared" si="8"/>
        <v>-16243.113000000001</v>
      </c>
      <c r="DQ6">
        <f t="shared" si="8"/>
        <v>-16298.545999999998</v>
      </c>
      <c r="DR6">
        <f t="shared" si="8"/>
        <v>-16205.151999999998</v>
      </c>
      <c r="DS6">
        <f t="shared" si="8"/>
        <v>-16178.307000000001</v>
      </c>
      <c r="DT6">
        <f t="shared" si="8"/>
        <v>-16211.347999999998</v>
      </c>
      <c r="DU6">
        <f t="shared" si="8"/>
        <v>-16227.897000000001</v>
      </c>
      <c r="DV6">
        <f t="shared" si="8"/>
        <v>-16137.544000000002</v>
      </c>
      <c r="DW6">
        <f t="shared" si="8"/>
        <v>-16287.133999999998</v>
      </c>
      <c r="DX6">
        <f t="shared" si="8"/>
        <v>-17340.686000000002</v>
      </c>
      <c r="DY6">
        <f t="shared" si="8"/>
        <v>-17370.8</v>
      </c>
      <c r="DZ6">
        <f t="shared" ref="DZ6:EX6" si="9">DZ14-DZ4</f>
        <v>-17146.870999999999</v>
      </c>
      <c r="EA6">
        <f t="shared" si="9"/>
        <v>-17023.534</v>
      </c>
      <c r="EB6">
        <f t="shared" si="9"/>
        <v>-16960.197</v>
      </c>
      <c r="EC6">
        <f t="shared" si="9"/>
        <v>-16797.27</v>
      </c>
      <c r="ED6">
        <f t="shared" si="9"/>
        <v>-16819.024000000001</v>
      </c>
      <c r="EE6">
        <f t="shared" si="9"/>
        <v>-16839.137999999999</v>
      </c>
      <c r="EF6">
        <f t="shared" si="9"/>
        <v>-16711.416000000001</v>
      </c>
      <c r="EG6">
        <f t="shared" si="9"/>
        <v>-21007.15399999998</v>
      </c>
      <c r="EH6">
        <f t="shared" si="9"/>
        <v>-19353.930999999982</v>
      </c>
      <c r="EI6">
        <f t="shared" si="9"/>
        <v>-10232.760000000009</v>
      </c>
      <c r="EJ6">
        <f t="shared" si="9"/>
        <v>-256.22999999999593</v>
      </c>
      <c r="EK6">
        <f t="shared" si="9"/>
        <v>2537.4580000000133</v>
      </c>
      <c r="EL6">
        <f t="shared" si="9"/>
        <v>3742.4350000000122</v>
      </c>
      <c r="EM6">
        <f t="shared" si="9"/>
        <v>8431.1530000000057</v>
      </c>
      <c r="EN6">
        <f t="shared" si="9"/>
        <v>4035.3740000000107</v>
      </c>
      <c r="EO6">
        <f t="shared" si="9"/>
        <v>8593.3290000000125</v>
      </c>
      <c r="EP6">
        <f t="shared" si="9"/>
        <v>-17841.843999999997</v>
      </c>
      <c r="EQ6">
        <f t="shared" si="9"/>
        <v>-16474.191999999999</v>
      </c>
      <c r="ER6">
        <f t="shared" si="9"/>
        <v>-16270.787</v>
      </c>
      <c r="ES6">
        <f t="shared" si="9"/>
        <v>-15822.006000000001</v>
      </c>
      <c r="ET6">
        <f t="shared" si="9"/>
        <v>-15832.929</v>
      </c>
      <c r="EU6">
        <f t="shared" si="9"/>
        <v>-15639.774000000001</v>
      </c>
      <c r="EV6">
        <f t="shared" si="9"/>
        <v>-15558.02</v>
      </c>
      <c r="EW6">
        <f t="shared" si="9"/>
        <v>-15137.178</v>
      </c>
      <c r="EX6">
        <f t="shared" si="9"/>
        <v>-14988.75</v>
      </c>
    </row>
    <row r="8" spans="1:154" x14ac:dyDescent="0.25">
      <c r="A8" t="s">
        <v>3</v>
      </c>
      <c r="B8">
        <f>STEYX(B14:EX14,B13:EX13)</f>
        <v>64489.464551055549</v>
      </c>
    </row>
    <row r="11" spans="1:154" x14ac:dyDescent="0.25">
      <c r="B11">
        <f>B6/64489.465</f>
        <v>5.3473648757979324E-2</v>
      </c>
      <c r="C11">
        <f t="shared" ref="C11:BN11" si="10">C6/64489.465</f>
        <v>1.4821428585273595E-2</v>
      </c>
      <c r="D11">
        <f t="shared" si="10"/>
        <v>-1.0226290449145416E-2</v>
      </c>
      <c r="E11">
        <f t="shared" si="10"/>
        <v>3.5398386387606166E-2</v>
      </c>
      <c r="F11">
        <f t="shared" si="10"/>
        <v>1.989976192235425E-2</v>
      </c>
      <c r="G11">
        <f t="shared" si="10"/>
        <v>2.4054704128806177E-2</v>
      </c>
      <c r="H11">
        <f t="shared" si="10"/>
        <v>6.6104238886149885E-2</v>
      </c>
      <c r="I11">
        <f t="shared" si="10"/>
        <v>3.8364359201925491E-2</v>
      </c>
      <c r="J11">
        <f t="shared" si="10"/>
        <v>2.0589006281878774E-2</v>
      </c>
      <c r="K11">
        <f t="shared" si="10"/>
        <v>-0.18605950599838281</v>
      </c>
      <c r="L11">
        <f t="shared" si="10"/>
        <v>-0.1877362759948466</v>
      </c>
      <c r="M11">
        <f t="shared" si="10"/>
        <v>-0.18968431510480044</v>
      </c>
      <c r="N11">
        <f t="shared" si="10"/>
        <v>-0.18298106520188995</v>
      </c>
      <c r="O11">
        <f t="shared" si="10"/>
        <v>-0.18710438984103836</v>
      </c>
      <c r="P11">
        <f t="shared" si="10"/>
        <v>-0.19270383154830015</v>
      </c>
      <c r="Q11">
        <f t="shared" si="10"/>
        <v>-0.18297984019560407</v>
      </c>
      <c r="R11">
        <f t="shared" si="10"/>
        <v>-0.21511713579884717</v>
      </c>
      <c r="S11">
        <f t="shared" si="10"/>
        <v>-0.19310599025747849</v>
      </c>
      <c r="T11">
        <f t="shared" si="10"/>
        <v>0.17492621469258587</v>
      </c>
      <c r="U11">
        <f t="shared" si="10"/>
        <v>0.13569270577760259</v>
      </c>
      <c r="V11">
        <f t="shared" si="10"/>
        <v>0.16991966052129609</v>
      </c>
      <c r="W11">
        <f t="shared" si="10"/>
        <v>0.21136498806432963</v>
      </c>
      <c r="X11">
        <f t="shared" si="10"/>
        <v>0.20832867818022688</v>
      </c>
      <c r="Y11">
        <f t="shared" si="10"/>
        <v>0.14185938742087567</v>
      </c>
      <c r="Z11">
        <f t="shared" si="10"/>
        <v>0.19245383722752241</v>
      </c>
      <c r="AA11">
        <f t="shared" si="10"/>
        <v>0.16181044454315141</v>
      </c>
      <c r="AB11">
        <f t="shared" si="10"/>
        <v>0.15117242793067057</v>
      </c>
      <c r="AC11">
        <f t="shared" si="10"/>
        <v>0.16406532446811276</v>
      </c>
      <c r="AD11">
        <f t="shared" si="10"/>
        <v>8.5614262732680343E-2</v>
      </c>
      <c r="AE11">
        <f t="shared" si="10"/>
        <v>5.6118747457433546E-2</v>
      </c>
      <c r="AF11">
        <f t="shared" si="10"/>
        <v>0.10253690273287278</v>
      </c>
      <c r="AG11">
        <f t="shared" si="10"/>
        <v>8.1967062372125477E-2</v>
      </c>
      <c r="AH11">
        <f t="shared" si="10"/>
        <v>6.3987583088183503E-2</v>
      </c>
      <c r="AI11">
        <f t="shared" si="10"/>
        <v>0.10172214950147281</v>
      </c>
      <c r="AJ11">
        <f t="shared" si="10"/>
        <v>7.7739472640996496E-2</v>
      </c>
      <c r="AK11">
        <f t="shared" si="10"/>
        <v>6.086217337979153E-2</v>
      </c>
      <c r="AL11">
        <f t="shared" si="10"/>
        <v>0.64338674541648211</v>
      </c>
      <c r="AM11">
        <f t="shared" si="10"/>
        <v>0.8694235562351158</v>
      </c>
      <c r="AN11">
        <f t="shared" si="10"/>
        <v>0.49109898802850993</v>
      </c>
      <c r="AO11">
        <f t="shared" si="10"/>
        <v>1.3544699742818458</v>
      </c>
      <c r="AP11">
        <f t="shared" si="10"/>
        <v>1.9564828611929106</v>
      </c>
      <c r="AQ11">
        <f t="shared" si="10"/>
        <v>2.7552554824264717</v>
      </c>
      <c r="AR11">
        <f t="shared" si="10"/>
        <v>2.7755433077325122</v>
      </c>
      <c r="AS11">
        <f t="shared" si="10"/>
        <v>2.5054165203572403</v>
      </c>
      <c r="AT11">
        <f t="shared" si="10"/>
        <v>2.5949808236120435</v>
      </c>
      <c r="AU11">
        <f t="shared" si="10"/>
        <v>-5.2428886020375547</v>
      </c>
      <c r="AV11">
        <f t="shared" si="10"/>
        <v>-3.2424735575027608</v>
      </c>
      <c r="AW11">
        <f t="shared" si="10"/>
        <v>-2.2878279421294955E-2</v>
      </c>
      <c r="AX11">
        <f t="shared" si="10"/>
        <v>1.9321541743290964</v>
      </c>
      <c r="AY11">
        <f t="shared" si="10"/>
        <v>2.4428319106074179</v>
      </c>
      <c r="AZ11">
        <f t="shared" si="10"/>
        <v>2.6192166891134878</v>
      </c>
      <c r="BA11">
        <f t="shared" si="10"/>
        <v>2.6231959592159737</v>
      </c>
      <c r="BB11">
        <f t="shared" si="10"/>
        <v>2.0718123184926402</v>
      </c>
      <c r="BC11">
        <f t="shared" si="10"/>
        <v>2.3773026803680279</v>
      </c>
      <c r="BD11">
        <f t="shared" si="10"/>
        <v>-0.11164791024394452</v>
      </c>
      <c r="BE11">
        <f t="shared" si="10"/>
        <v>-6.5859361680237011E-2</v>
      </c>
      <c r="BF11">
        <f t="shared" si="10"/>
        <v>3.7879799437008796E-2</v>
      </c>
      <c r="BG11">
        <f t="shared" si="10"/>
        <v>0.16626005503379501</v>
      </c>
      <c r="BH11">
        <f t="shared" si="10"/>
        <v>0.17009001392708134</v>
      </c>
      <c r="BI11">
        <f t="shared" si="10"/>
        <v>0.24672302677654417</v>
      </c>
      <c r="BJ11">
        <f t="shared" si="10"/>
        <v>0.31261653356870017</v>
      </c>
      <c r="BK11">
        <f t="shared" si="10"/>
        <v>0.32363289104662307</v>
      </c>
      <c r="BL11">
        <f t="shared" si="10"/>
        <v>0.30331695262164149</v>
      </c>
      <c r="BM11">
        <f t="shared" si="10"/>
        <v>-0.77661182334199841</v>
      </c>
      <c r="BN11">
        <f t="shared" si="10"/>
        <v>-0.62284729761674995</v>
      </c>
      <c r="BO11">
        <f t="shared" ref="BO11:DZ11" si="11">BO6/64489.465</f>
        <v>-0.41377500960815827</v>
      </c>
      <c r="BP11">
        <f t="shared" si="11"/>
        <v>-0.17007663189638825</v>
      </c>
      <c r="BQ11">
        <f t="shared" si="11"/>
        <v>-6.1916717715056177E-2</v>
      </c>
      <c r="BR11">
        <f t="shared" si="11"/>
        <v>-2.3875062384220015E-3</v>
      </c>
      <c r="BS11">
        <f t="shared" si="11"/>
        <v>2.3720990707552014E-2</v>
      </c>
      <c r="BT11">
        <f t="shared" si="11"/>
        <v>7.6894590457526724E-2</v>
      </c>
      <c r="BU11">
        <f t="shared" si="11"/>
        <v>0.17158790199298457</v>
      </c>
      <c r="BV11">
        <f t="shared" si="11"/>
        <v>-1.4763118751256499</v>
      </c>
      <c r="BW11">
        <f t="shared" si="11"/>
        <v>-0.74141567153642851</v>
      </c>
      <c r="BX11">
        <f t="shared" si="11"/>
        <v>-0.14035238158666691</v>
      </c>
      <c r="BY11">
        <f t="shared" si="11"/>
        <v>0.35263773703193219</v>
      </c>
      <c r="BZ11">
        <f t="shared" si="11"/>
        <v>0.60148940606035484</v>
      </c>
      <c r="CA11">
        <f t="shared" si="11"/>
        <v>0.8907468685001495</v>
      </c>
      <c r="CB11">
        <f t="shared" si="11"/>
        <v>0.97796846353121403</v>
      </c>
      <c r="CC11">
        <f t="shared" si="11"/>
        <v>1.027312228439172</v>
      </c>
      <c r="CD11">
        <f t="shared" si="11"/>
        <v>0.95129517666180041</v>
      </c>
      <c r="CE11">
        <f t="shared" si="11"/>
        <v>-4.5554577480213219</v>
      </c>
      <c r="CF11">
        <f t="shared" si="11"/>
        <v>-3.0103315479512816</v>
      </c>
      <c r="CG11">
        <f t="shared" si="11"/>
        <v>-0.62218287901752523</v>
      </c>
      <c r="CH11">
        <f t="shared" si="11"/>
        <v>-0.14204682888902825</v>
      </c>
      <c r="CI11">
        <f t="shared" si="11"/>
        <v>-0.22938214792136918</v>
      </c>
      <c r="CJ11">
        <f t="shared" si="11"/>
        <v>-0.46431349678586903</v>
      </c>
      <c r="CK11">
        <f t="shared" si="11"/>
        <v>-0.44284580434959364</v>
      </c>
      <c r="CL11">
        <f t="shared" si="11"/>
        <v>-0.64151251681185451</v>
      </c>
      <c r="CM11">
        <f t="shared" si="11"/>
        <v>-0.43290804164680102</v>
      </c>
      <c r="CN11">
        <f t="shared" si="11"/>
        <v>-0.24683645615605587</v>
      </c>
      <c r="CO11">
        <f t="shared" si="11"/>
        <v>-0.24899446754597826</v>
      </c>
      <c r="CP11">
        <f t="shared" si="11"/>
        <v>-0.24822445030362714</v>
      </c>
      <c r="CQ11">
        <f t="shared" si="11"/>
        <v>-0.2447685370005783</v>
      </c>
      <c r="CR11">
        <f t="shared" si="11"/>
        <v>-0.24306283204551316</v>
      </c>
      <c r="CS11">
        <f t="shared" si="11"/>
        <v>-0.246991179101889</v>
      </c>
      <c r="CT11">
        <f t="shared" si="11"/>
        <v>-0.24633736688620383</v>
      </c>
      <c r="CU11">
        <f t="shared" si="11"/>
        <v>-0.24722872177649485</v>
      </c>
      <c r="CV11">
        <f t="shared" si="11"/>
        <v>-0.24632730322696894</v>
      </c>
      <c r="CW11">
        <f t="shared" si="11"/>
        <v>-0.23266735117123397</v>
      </c>
      <c r="CX11">
        <f t="shared" si="11"/>
        <v>-0.23641503306005096</v>
      </c>
      <c r="CY11">
        <f t="shared" si="11"/>
        <v>-0.23735884613091457</v>
      </c>
      <c r="CZ11">
        <f t="shared" si="11"/>
        <v>-0.23822759267734658</v>
      </c>
      <c r="DA11">
        <f t="shared" si="11"/>
        <v>-0.24209872108568431</v>
      </c>
      <c r="DB11">
        <f t="shared" si="11"/>
        <v>-0.24075118315836549</v>
      </c>
      <c r="DC11">
        <f t="shared" si="11"/>
        <v>-0.23965213543018229</v>
      </c>
      <c r="DD11">
        <f t="shared" si="11"/>
        <v>-0.24119006104330376</v>
      </c>
      <c r="DE11">
        <f t="shared" si="11"/>
        <v>-0.24121902701472248</v>
      </c>
      <c r="DF11">
        <f t="shared" si="11"/>
        <v>-0.25323049276343046</v>
      </c>
      <c r="DG11">
        <f t="shared" si="11"/>
        <v>-0.253002843177564</v>
      </c>
      <c r="DH11">
        <f t="shared" si="11"/>
        <v>-0.25317239025009747</v>
      </c>
      <c r="DI11">
        <f t="shared" si="11"/>
        <v>-0.25392051244338903</v>
      </c>
      <c r="DJ11">
        <f t="shared" si="11"/>
        <v>-0.25308443790005081</v>
      </c>
      <c r="DK11">
        <f t="shared" si="11"/>
        <v>-0.25346167781047652</v>
      </c>
      <c r="DL11">
        <f t="shared" si="11"/>
        <v>-0.25310439464802509</v>
      </c>
      <c r="DM11">
        <f t="shared" si="11"/>
        <v>-0.25318598937051195</v>
      </c>
      <c r="DN11">
        <f t="shared" si="11"/>
        <v>-0.25307172264493122</v>
      </c>
      <c r="DO11">
        <f t="shared" si="11"/>
        <v>-0.25159224068613378</v>
      </c>
      <c r="DP11">
        <f t="shared" si="11"/>
        <v>-0.25187234845257289</v>
      </c>
      <c r="DQ11">
        <f t="shared" si="11"/>
        <v>-0.25273191520506488</v>
      </c>
      <c r="DR11">
        <f t="shared" si="11"/>
        <v>-0.25128370967257985</v>
      </c>
      <c r="DS11">
        <f t="shared" si="11"/>
        <v>-0.25086744013150059</v>
      </c>
      <c r="DT11">
        <f t="shared" si="11"/>
        <v>-0.25137978738077604</v>
      </c>
      <c r="DU11">
        <f t="shared" si="11"/>
        <v>-0.25163640293806133</v>
      </c>
      <c r="DV11">
        <f t="shared" si="11"/>
        <v>-0.2502353523943795</v>
      </c>
      <c r="DW11">
        <f t="shared" si="11"/>
        <v>-0.25255495606918121</v>
      </c>
      <c r="DX11">
        <f t="shared" si="11"/>
        <v>-0.2688917639493521</v>
      </c>
      <c r="DY11">
        <f t="shared" si="11"/>
        <v>-0.26935872394041416</v>
      </c>
      <c r="DZ11">
        <f t="shared" si="11"/>
        <v>-0.26588638935057068</v>
      </c>
      <c r="EA11">
        <f t="shared" ref="EA11:EX11" si="12">EA6/64489.465</f>
        <v>-0.26397387542290823</v>
      </c>
      <c r="EB11">
        <f t="shared" si="12"/>
        <v>-0.26299174601619041</v>
      </c>
      <c r="EC11">
        <f t="shared" si="12"/>
        <v>-0.26046533336879135</v>
      </c>
      <c r="ED11">
        <f t="shared" si="12"/>
        <v>-0.2608026597832685</v>
      </c>
      <c r="EE11">
        <f t="shared" si="12"/>
        <v>-0.26111455568750647</v>
      </c>
      <c r="EF11">
        <f t="shared" si="12"/>
        <v>-0.25913404615777169</v>
      </c>
      <c r="EG11">
        <f t="shared" si="12"/>
        <v>-0.32574551517833156</v>
      </c>
      <c r="EH11">
        <f t="shared" si="12"/>
        <v>-0.30010996369717108</v>
      </c>
      <c r="EI11">
        <f t="shared" si="12"/>
        <v>-0.15867335850902176</v>
      </c>
      <c r="EJ11">
        <f t="shared" si="12"/>
        <v>-3.9732070966939474E-3</v>
      </c>
      <c r="EK11">
        <f t="shared" si="12"/>
        <v>3.9346860762451877E-2</v>
      </c>
      <c r="EL11">
        <f t="shared" si="12"/>
        <v>5.8031726577356668E-2</v>
      </c>
      <c r="EM11">
        <f t="shared" si="12"/>
        <v>0.13073690408193037</v>
      </c>
      <c r="EN11">
        <f t="shared" si="12"/>
        <v>6.2574158430373256E-2</v>
      </c>
      <c r="EO11">
        <f t="shared" si="12"/>
        <v>0.13325167141640906</v>
      </c>
      <c r="EP11">
        <f t="shared" si="12"/>
        <v>-0.27666292471181142</v>
      </c>
      <c r="EQ11">
        <f t="shared" si="12"/>
        <v>-0.25545555386449553</v>
      </c>
      <c r="ER11">
        <f t="shared" si="12"/>
        <v>-0.25230147280644988</v>
      </c>
      <c r="ES11">
        <f t="shared" si="12"/>
        <v>-0.24534249121154908</v>
      </c>
      <c r="ET11">
        <f t="shared" si="12"/>
        <v>-0.24551186771358705</v>
      </c>
      <c r="EU11">
        <f t="shared" si="12"/>
        <v>-0.24251672734453608</v>
      </c>
      <c r="EV11">
        <f t="shared" si="12"/>
        <v>-0.24124901640911428</v>
      </c>
      <c r="EW11">
        <f t="shared" si="12"/>
        <v>-0.23472326836639132</v>
      </c>
      <c r="EX11">
        <f t="shared" si="12"/>
        <v>-0.23242168313847852</v>
      </c>
    </row>
    <row r="13" spans="1:154" x14ac:dyDescent="0.25">
      <c r="A13" t="s">
        <v>1</v>
      </c>
      <c r="B13">
        <v>63965</v>
      </c>
      <c r="C13">
        <v>48070</v>
      </c>
      <c r="D13">
        <v>33840</v>
      </c>
      <c r="E13">
        <v>31485</v>
      </c>
      <c r="F13">
        <v>33375</v>
      </c>
      <c r="G13">
        <v>33625</v>
      </c>
      <c r="H13">
        <v>29265</v>
      </c>
      <c r="I13">
        <v>27915</v>
      </c>
      <c r="J13">
        <v>23930</v>
      </c>
      <c r="K13">
        <v>22790</v>
      </c>
      <c r="L13">
        <v>18660</v>
      </c>
      <c r="M13">
        <v>15200</v>
      </c>
      <c r="N13">
        <v>14555</v>
      </c>
      <c r="O13">
        <v>14910</v>
      </c>
      <c r="P13">
        <v>14435</v>
      </c>
      <c r="Q13">
        <v>12960</v>
      </c>
      <c r="R13">
        <v>13145</v>
      </c>
      <c r="S13">
        <v>12110</v>
      </c>
      <c r="T13">
        <v>131110</v>
      </c>
      <c r="U13">
        <v>106250</v>
      </c>
      <c r="V13">
        <v>81460</v>
      </c>
      <c r="W13">
        <v>73925</v>
      </c>
      <c r="X13">
        <v>70975</v>
      </c>
      <c r="Y13">
        <v>77020</v>
      </c>
      <c r="Z13">
        <v>67775</v>
      </c>
      <c r="AA13">
        <v>61455</v>
      </c>
      <c r="AB13">
        <v>53655</v>
      </c>
      <c r="AC13">
        <v>99575</v>
      </c>
      <c r="AD13">
        <v>83510</v>
      </c>
      <c r="AE13">
        <v>64260</v>
      </c>
      <c r="AF13">
        <v>57250</v>
      </c>
      <c r="AG13">
        <v>56340</v>
      </c>
      <c r="AH13">
        <v>57375</v>
      </c>
      <c r="AI13">
        <v>50365</v>
      </c>
      <c r="AJ13">
        <v>47515</v>
      </c>
      <c r="AK13">
        <v>41955</v>
      </c>
      <c r="AL13">
        <v>1894065</v>
      </c>
      <c r="AM13">
        <v>1668700</v>
      </c>
      <c r="AN13">
        <v>1345645</v>
      </c>
      <c r="AO13">
        <v>1261580</v>
      </c>
      <c r="AP13">
        <v>1194935</v>
      </c>
      <c r="AQ13">
        <v>1129640</v>
      </c>
      <c r="AR13">
        <v>1085085</v>
      </c>
      <c r="AS13">
        <v>1006345</v>
      </c>
      <c r="AT13">
        <v>925375</v>
      </c>
      <c r="AU13">
        <v>3812205</v>
      </c>
      <c r="AV13">
        <v>3114925</v>
      </c>
      <c r="AW13">
        <v>2389440</v>
      </c>
      <c r="AX13">
        <v>2112855</v>
      </c>
      <c r="AY13">
        <v>2030985</v>
      </c>
      <c r="AZ13">
        <v>1968185</v>
      </c>
      <c r="BA13">
        <v>1926280</v>
      </c>
      <c r="BB13">
        <v>1809260</v>
      </c>
      <c r="BC13">
        <v>1706710</v>
      </c>
      <c r="BD13">
        <v>309770</v>
      </c>
      <c r="BE13">
        <v>254175</v>
      </c>
      <c r="BF13">
        <v>211360</v>
      </c>
      <c r="BG13">
        <v>198290</v>
      </c>
      <c r="BH13">
        <v>195730</v>
      </c>
      <c r="BI13">
        <v>184020</v>
      </c>
      <c r="BJ13">
        <v>173235</v>
      </c>
      <c r="BK13">
        <v>161840</v>
      </c>
      <c r="BL13">
        <v>151860</v>
      </c>
      <c r="BM13">
        <v>333205</v>
      </c>
      <c r="BN13">
        <v>274645</v>
      </c>
      <c r="BO13">
        <v>221845</v>
      </c>
      <c r="BP13">
        <v>193555</v>
      </c>
      <c r="BQ13">
        <v>177680</v>
      </c>
      <c r="BR13">
        <v>173045</v>
      </c>
      <c r="BS13">
        <v>170030</v>
      </c>
      <c r="BT13">
        <v>150745</v>
      </c>
      <c r="BU13">
        <v>128340</v>
      </c>
      <c r="BV13">
        <v>979215</v>
      </c>
      <c r="BW13">
        <v>777500</v>
      </c>
      <c r="BX13">
        <v>616250</v>
      </c>
      <c r="BY13">
        <v>549705</v>
      </c>
      <c r="BZ13">
        <v>517350</v>
      </c>
      <c r="CA13">
        <v>501855</v>
      </c>
      <c r="CB13">
        <v>500285</v>
      </c>
      <c r="CC13">
        <v>451120</v>
      </c>
      <c r="CD13">
        <v>429815</v>
      </c>
      <c r="CE13">
        <v>1757565</v>
      </c>
      <c r="CF13">
        <v>1432155</v>
      </c>
      <c r="CG13">
        <v>1026005</v>
      </c>
      <c r="CH13">
        <v>959820</v>
      </c>
      <c r="CI13">
        <v>963260</v>
      </c>
      <c r="CJ13">
        <v>977845</v>
      </c>
      <c r="CK13">
        <v>973645</v>
      </c>
      <c r="CL13">
        <v>931195</v>
      </c>
      <c r="CM13">
        <v>882440</v>
      </c>
      <c r="CN13">
        <v>4555</v>
      </c>
      <c r="CO13">
        <v>3600</v>
      </c>
      <c r="CP13">
        <v>2910</v>
      </c>
      <c r="CQ13">
        <v>2560</v>
      </c>
      <c r="CR13">
        <v>2560</v>
      </c>
      <c r="CS13">
        <v>2845</v>
      </c>
      <c r="CT13">
        <v>2825</v>
      </c>
      <c r="CU13">
        <v>2640</v>
      </c>
      <c r="CV13">
        <v>2380</v>
      </c>
      <c r="CW13">
        <v>3365</v>
      </c>
      <c r="CX13">
        <v>2595</v>
      </c>
      <c r="CY13">
        <v>1725</v>
      </c>
      <c r="CZ13">
        <v>1850</v>
      </c>
      <c r="DA13">
        <v>1685</v>
      </c>
      <c r="DB13">
        <v>1575</v>
      </c>
      <c r="DC13">
        <v>1590</v>
      </c>
      <c r="DD13">
        <v>1490</v>
      </c>
      <c r="DE13">
        <v>1230</v>
      </c>
      <c r="DF13">
        <v>695</v>
      </c>
      <c r="DG13">
        <v>490</v>
      </c>
      <c r="DH13">
        <v>360</v>
      </c>
      <c r="DI13">
        <v>390</v>
      </c>
      <c r="DJ13">
        <v>400</v>
      </c>
      <c r="DK13">
        <v>440</v>
      </c>
      <c r="DL13">
        <v>435</v>
      </c>
      <c r="DM13">
        <v>345</v>
      </c>
      <c r="DN13">
        <v>300</v>
      </c>
      <c r="DO13">
        <v>2445</v>
      </c>
      <c r="DP13">
        <v>1965</v>
      </c>
      <c r="DQ13">
        <v>1530</v>
      </c>
      <c r="DR13">
        <v>1360</v>
      </c>
      <c r="DS13">
        <v>1135</v>
      </c>
      <c r="DT13">
        <v>1140</v>
      </c>
      <c r="DU13">
        <v>1085</v>
      </c>
      <c r="DV13">
        <v>920</v>
      </c>
      <c r="DW13">
        <v>870</v>
      </c>
      <c r="DX13">
        <v>4230</v>
      </c>
      <c r="DY13">
        <v>4000</v>
      </c>
      <c r="DZ13">
        <v>3155</v>
      </c>
      <c r="EA13">
        <v>2870</v>
      </c>
      <c r="EB13">
        <v>2585</v>
      </c>
      <c r="EC13">
        <v>2350</v>
      </c>
      <c r="ED13">
        <v>2320</v>
      </c>
      <c r="EE13">
        <v>2090</v>
      </c>
      <c r="EF13">
        <v>1880</v>
      </c>
      <c r="EG13">
        <v>306970</v>
      </c>
      <c r="EH13">
        <v>256455</v>
      </c>
      <c r="EI13">
        <v>201800</v>
      </c>
      <c r="EJ13">
        <v>185150</v>
      </c>
      <c r="EK13">
        <v>180310</v>
      </c>
      <c r="EL13">
        <v>179825</v>
      </c>
      <c r="EM13">
        <v>165835</v>
      </c>
      <c r="EN13">
        <v>155930</v>
      </c>
      <c r="EO13">
        <v>142155</v>
      </c>
      <c r="EP13">
        <v>12420</v>
      </c>
      <c r="EQ13">
        <v>8560</v>
      </c>
      <c r="ER13">
        <v>7535</v>
      </c>
      <c r="ES13">
        <v>6830</v>
      </c>
      <c r="ET13">
        <v>5845</v>
      </c>
      <c r="EU13">
        <v>6070</v>
      </c>
      <c r="EV13">
        <v>6100</v>
      </c>
      <c r="EW13">
        <v>4290</v>
      </c>
      <c r="EX13">
        <v>3750</v>
      </c>
    </row>
    <row r="14" spans="1:154" x14ac:dyDescent="0.25">
      <c r="A14" t="s">
        <v>0</v>
      </c>
      <c r="B14">
        <v>59080</v>
      </c>
      <c r="C14">
        <v>46920</v>
      </c>
      <c r="D14">
        <v>36650</v>
      </c>
      <c r="E14">
        <v>38160</v>
      </c>
      <c r="F14">
        <v>38310</v>
      </c>
      <c r="G14">
        <v>38730</v>
      </c>
      <c r="H14">
        <v>38790</v>
      </c>
      <c r="I14">
        <v>36180</v>
      </c>
      <c r="J14">
        <v>32610</v>
      </c>
      <c r="K14">
        <v>18590</v>
      </c>
      <c r="L14">
        <v>15970</v>
      </c>
      <c r="M14">
        <v>13740</v>
      </c>
      <c r="N14">
        <v>13780</v>
      </c>
      <c r="O14">
        <v>13730</v>
      </c>
      <c r="P14">
        <v>13080</v>
      </c>
      <c r="Q14">
        <v>12810</v>
      </c>
      <c r="R14">
        <v>10850</v>
      </c>
      <c r="S14">
        <v>11640</v>
      </c>
      <c r="T14">
        <v>107750</v>
      </c>
      <c r="U14">
        <v>90100</v>
      </c>
      <c r="V14">
        <v>77230</v>
      </c>
      <c r="W14">
        <v>75320</v>
      </c>
      <c r="X14">
        <v>73330</v>
      </c>
      <c r="Y14">
        <v>72720</v>
      </c>
      <c r="Z14">
        <v>70360</v>
      </c>
      <c r="AA14">
        <v>64540</v>
      </c>
      <c r="AB14">
        <v>59110</v>
      </c>
      <c r="AC14">
        <v>87870</v>
      </c>
      <c r="AD14">
        <v>73040</v>
      </c>
      <c r="AE14">
        <v>59430</v>
      </c>
      <c r="AF14">
        <v>58160</v>
      </c>
      <c r="AG14">
        <v>56280</v>
      </c>
      <c r="AH14">
        <v>55750</v>
      </c>
      <c r="AI14">
        <v>53920</v>
      </c>
      <c r="AJ14">
        <v>50640</v>
      </c>
      <c r="AK14">
        <v>46170</v>
      </c>
      <c r="AL14">
        <v>1210190</v>
      </c>
      <c r="AM14">
        <v>1087700</v>
      </c>
      <c r="AN14">
        <v>866820</v>
      </c>
      <c r="AO14">
        <v>871370</v>
      </c>
      <c r="AP14">
        <v>869660</v>
      </c>
      <c r="AQ14">
        <v>881460</v>
      </c>
      <c r="AR14">
        <v>855670</v>
      </c>
      <c r="AS14">
        <v>790360</v>
      </c>
      <c r="AT14">
        <v>746890</v>
      </c>
      <c r="AU14">
        <v>1997200</v>
      </c>
      <c r="AV14">
        <v>1702120</v>
      </c>
      <c r="AW14">
        <v>1468510</v>
      </c>
      <c r="AX14">
        <v>1426370</v>
      </c>
      <c r="AY14">
        <v>1409510</v>
      </c>
      <c r="AZ14">
        <v>1382690</v>
      </c>
      <c r="BA14">
        <v>1357460</v>
      </c>
      <c r="BB14">
        <v>1250730</v>
      </c>
      <c r="BC14">
        <v>1208060</v>
      </c>
      <c r="BD14">
        <v>197930</v>
      </c>
      <c r="BE14">
        <v>167070</v>
      </c>
      <c r="BF14">
        <v>147720</v>
      </c>
      <c r="BG14">
        <v>148050</v>
      </c>
      <c r="BH14">
        <v>146740</v>
      </c>
      <c r="BI14">
        <v>144560</v>
      </c>
      <c r="BJ14">
        <v>142250</v>
      </c>
      <c r="BK14">
        <v>136030</v>
      </c>
      <c r="BL14">
        <v>128650</v>
      </c>
      <c r="BM14">
        <v>169300</v>
      </c>
      <c r="BN14">
        <v>143600</v>
      </c>
      <c r="BO14">
        <v>124970</v>
      </c>
      <c r="BP14">
        <v>123480</v>
      </c>
      <c r="BQ14">
        <v>120800</v>
      </c>
      <c r="BR14">
        <v>121820</v>
      </c>
      <c r="BS14">
        <v>121670</v>
      </c>
      <c r="BT14">
        <v>113370</v>
      </c>
      <c r="BU14">
        <v>105850</v>
      </c>
      <c r="BV14">
        <v>517080</v>
      </c>
      <c r="BW14">
        <v>441790</v>
      </c>
      <c r="BX14">
        <v>382480</v>
      </c>
      <c r="BY14">
        <v>373800</v>
      </c>
      <c r="BZ14">
        <v>370170</v>
      </c>
      <c r="CA14">
        <v>379400</v>
      </c>
      <c r="CB14">
        <v>384070</v>
      </c>
      <c r="CC14">
        <v>357350</v>
      </c>
      <c r="CD14">
        <v>339490</v>
      </c>
      <c r="CE14">
        <v>791900</v>
      </c>
      <c r="CF14">
        <v>693630</v>
      </c>
      <c r="CG14">
        <v>600620</v>
      </c>
      <c r="CH14">
        <v>591330</v>
      </c>
      <c r="CI14">
        <v>587790</v>
      </c>
      <c r="CJ14">
        <v>581510</v>
      </c>
      <c r="CK14">
        <v>580340</v>
      </c>
      <c r="CL14">
        <v>541710</v>
      </c>
      <c r="CM14">
        <v>525510</v>
      </c>
      <c r="CN14">
        <v>3580</v>
      </c>
      <c r="CO14">
        <v>2860</v>
      </c>
      <c r="CP14">
        <v>2490</v>
      </c>
      <c r="CQ14">
        <v>2500</v>
      </c>
      <c r="CR14">
        <v>2610</v>
      </c>
      <c r="CS14">
        <v>2530</v>
      </c>
      <c r="CT14">
        <v>2560</v>
      </c>
      <c r="CU14">
        <v>2390</v>
      </c>
      <c r="CV14">
        <v>2290</v>
      </c>
      <c r="CW14">
        <v>3770</v>
      </c>
      <c r="CX14">
        <v>3060</v>
      </c>
      <c r="CY14">
        <v>2470</v>
      </c>
      <c r="CZ14">
        <v>2490</v>
      </c>
      <c r="DA14">
        <v>2140</v>
      </c>
      <c r="DB14">
        <v>2160</v>
      </c>
      <c r="DC14">
        <v>2240</v>
      </c>
      <c r="DD14">
        <v>2080</v>
      </c>
      <c r="DE14">
        <v>1920</v>
      </c>
      <c r="DF14">
        <v>820</v>
      </c>
      <c r="DG14">
        <v>710</v>
      </c>
      <c r="DH14">
        <v>620</v>
      </c>
      <c r="DI14">
        <v>590</v>
      </c>
      <c r="DJ14">
        <v>650</v>
      </c>
      <c r="DK14">
        <v>650</v>
      </c>
      <c r="DL14">
        <v>670</v>
      </c>
      <c r="DM14">
        <v>610</v>
      </c>
      <c r="DN14">
        <v>590</v>
      </c>
      <c r="DO14">
        <v>1990</v>
      </c>
      <c r="DP14">
        <v>1680</v>
      </c>
      <c r="DQ14">
        <v>1360</v>
      </c>
      <c r="DR14">
        <v>1350</v>
      </c>
      <c r="DS14">
        <v>1240</v>
      </c>
      <c r="DT14">
        <v>1210</v>
      </c>
      <c r="DU14">
        <v>1160</v>
      </c>
      <c r="DV14">
        <v>1150</v>
      </c>
      <c r="DW14">
        <v>970</v>
      </c>
      <c r="DX14">
        <v>1960</v>
      </c>
      <c r="DY14">
        <v>1790</v>
      </c>
      <c r="DZ14">
        <v>1500</v>
      </c>
      <c r="EA14">
        <v>1450</v>
      </c>
      <c r="EB14">
        <v>1340</v>
      </c>
      <c r="EC14">
        <v>1360</v>
      </c>
      <c r="ED14">
        <v>1320</v>
      </c>
      <c r="EE14">
        <v>1160</v>
      </c>
      <c r="EF14">
        <v>1160</v>
      </c>
      <c r="EG14">
        <v>182420</v>
      </c>
      <c r="EH14">
        <v>153350</v>
      </c>
      <c r="EI14">
        <v>129230</v>
      </c>
      <c r="EJ14">
        <v>129080</v>
      </c>
      <c r="EK14">
        <v>128930</v>
      </c>
      <c r="EL14">
        <v>129840</v>
      </c>
      <c r="EM14">
        <v>126020</v>
      </c>
      <c r="EN14">
        <v>115600</v>
      </c>
      <c r="EO14">
        <v>111780</v>
      </c>
      <c r="EP14">
        <v>6440</v>
      </c>
      <c r="EQ14">
        <v>5460</v>
      </c>
      <c r="ER14">
        <v>5040</v>
      </c>
      <c r="ES14">
        <v>5060</v>
      </c>
      <c r="ET14">
        <v>4450</v>
      </c>
      <c r="EU14">
        <v>4780</v>
      </c>
      <c r="EV14">
        <v>4880</v>
      </c>
      <c r="EW14">
        <v>4200</v>
      </c>
      <c r="EX14">
        <v>4020</v>
      </c>
    </row>
    <row r="21" spans="1:1" x14ac:dyDescent="0.25">
      <c r="A21">
        <f>CORREL(B13:EX13,B14:EX14)</f>
        <v>0.98707205567170409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cansim-1110036-eng-557151357758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 Sharma</dc:creator>
  <cp:lastModifiedBy>Ajay Sharma</cp:lastModifiedBy>
  <dcterms:created xsi:type="dcterms:W3CDTF">2018-02-25T00:49:35Z</dcterms:created>
  <dcterms:modified xsi:type="dcterms:W3CDTF">2018-02-25T22:42:16Z</dcterms:modified>
</cp:coreProperties>
</file>